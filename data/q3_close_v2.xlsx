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ummary" sheetId="1" r:id="rId1"/>
    <sheet name="Revenue" sheetId="2" r:id="rId2"/>
    <sheet name="Orders" sheetId="3" r:id="rId3"/>
    <sheet name="Pricebook" sheetId="4" r:id="rId4"/>
    <sheet name="FX" sheetId="5" r:id="rId5"/>
    <sheet name="Adjustments" sheetId="6" r:id="rId6"/>
  </sheets>
  <definedNames>
    <definedName name="Headline">Summary!$B$10</definedName>
  </definedNames>
  <calcPr calcId="124519" fullCalcOnLoad="1"/>
</workbook>
</file>

<file path=xl/sharedStrings.xml><?xml version="1.0" encoding="utf-8"?>
<sst xmlns="http://schemas.openxmlformats.org/spreadsheetml/2006/main" count="1307" uniqueCount="338">
  <si>
    <t>order_id</t>
  </si>
  <si>
    <t>order_date</t>
  </si>
  <si>
    <t>sku</t>
  </si>
  <si>
    <t>qty</t>
  </si>
  <si>
    <t>region</t>
  </si>
  <si>
    <t>currency</t>
  </si>
  <si>
    <t>unit_price_at_sale</t>
  </si>
  <si>
    <t>ORD-10001</t>
  </si>
  <si>
    <t>SKU-4483</t>
  </si>
  <si>
    <t>AMER</t>
  </si>
  <si>
    <t>EUR</t>
  </si>
  <si>
    <t>ORD-10002</t>
  </si>
  <si>
    <t>SKU-5004</t>
  </si>
  <si>
    <t>USD</t>
  </si>
  <si>
    <t>ORD-10003</t>
  </si>
  <si>
    <t>SKU-4460</t>
  </si>
  <si>
    <t>ORD-10004</t>
  </si>
  <si>
    <t>SKU-4499</t>
  </si>
  <si>
    <t>ORD-10005</t>
  </si>
  <si>
    <t>SKU-4490</t>
  </si>
  <si>
    <t>ORD-10006</t>
  </si>
  <si>
    <t>ORD-10007</t>
  </si>
  <si>
    <t>SKU-4492</t>
  </si>
  <si>
    <t>GBP</t>
  </si>
  <si>
    <t>ORD-10008</t>
  </si>
  <si>
    <t>SKU-5006</t>
  </si>
  <si>
    <t>ORD-10009</t>
  </si>
  <si>
    <t>SKU-4475</t>
  </si>
  <si>
    <t>ORD-10010</t>
  </si>
  <si>
    <t>SKU-5019</t>
  </si>
  <si>
    <t>ORD-10011</t>
  </si>
  <si>
    <t>ORD-10012</t>
  </si>
  <si>
    <t>SKU-5000</t>
  </si>
  <si>
    <t>ORD-10013</t>
  </si>
  <si>
    <t>SKU-4469</t>
  </si>
  <si>
    <t>ORD-10014</t>
  </si>
  <si>
    <t>SKU-4464</t>
  </si>
  <si>
    <t>ORD-10015</t>
  </si>
  <si>
    <t>SKU-4484</t>
  </si>
  <si>
    <t>ORD-10016</t>
  </si>
  <si>
    <t>SKU-4493</t>
  </si>
  <si>
    <t>ORD-10017</t>
  </si>
  <si>
    <t>ORD-10018</t>
  </si>
  <si>
    <t>ORD-10019</t>
  </si>
  <si>
    <t>ORD-10020</t>
  </si>
  <si>
    <t>SKU-4474</t>
  </si>
  <si>
    <t>ORD-10021</t>
  </si>
  <si>
    <t>SKU-4463</t>
  </si>
  <si>
    <t>ORD-10022</t>
  </si>
  <si>
    <t>ORD-10023</t>
  </si>
  <si>
    <t>SKU-4470</t>
  </si>
  <si>
    <t>ORD-10024</t>
  </si>
  <si>
    <t>SKU-4467</t>
  </si>
  <si>
    <t>ORD-10025</t>
  </si>
  <si>
    <t>SKU-4498</t>
  </si>
  <si>
    <t>ORD-10026</t>
  </si>
  <si>
    <t>SKU-5013</t>
  </si>
  <si>
    <t>ORD-10027</t>
  </si>
  <si>
    <t>SKU-4478</t>
  </si>
  <si>
    <t>ORD-10028</t>
  </si>
  <si>
    <t>SKU-5011</t>
  </si>
  <si>
    <t>ORD-10029</t>
  </si>
  <si>
    <t>ORD-10030</t>
  </si>
  <si>
    <t>ORD-10031</t>
  </si>
  <si>
    <t>SKU-4480</t>
  </si>
  <si>
    <t>ORD-10032</t>
  </si>
  <si>
    <t>SKU-4472</t>
  </si>
  <si>
    <t>ORD-10033</t>
  </si>
  <si>
    <t>ORD-10034</t>
  </si>
  <si>
    <t>SKU-4473</t>
  </si>
  <si>
    <t>ORD-10035</t>
  </si>
  <si>
    <t>SKU-4466</t>
  </si>
  <si>
    <t>ORD-10036</t>
  </si>
  <si>
    <t>SKU-5010</t>
  </si>
  <si>
    <t>ORD-10037</t>
  </si>
  <si>
    <t>SKU-4461</t>
  </si>
  <si>
    <t>ORD-10038</t>
  </si>
  <si>
    <t>SKU-5014</t>
  </si>
  <si>
    <t>ORD-10039</t>
  </si>
  <si>
    <t>SKU-4495</t>
  </si>
  <si>
    <t>ORD-10040</t>
  </si>
  <si>
    <t>ORD-10041</t>
  </si>
  <si>
    <t>ORD-10042</t>
  </si>
  <si>
    <t>SKU-5012</t>
  </si>
  <si>
    <t>ORD-10043</t>
  </si>
  <si>
    <t>ORD-10044</t>
  </si>
  <si>
    <t>ORD-10045</t>
  </si>
  <si>
    <t>ORD-10046</t>
  </si>
  <si>
    <t>ORD-10047</t>
  </si>
  <si>
    <t>ORD-10048</t>
  </si>
  <si>
    <t>ORD-10049</t>
  </si>
  <si>
    <t>SKU-4477</t>
  </si>
  <si>
    <t>ORD-10050</t>
  </si>
  <si>
    <t>ORD-10051</t>
  </si>
  <si>
    <t>SKU-4482</t>
  </si>
  <si>
    <t>ORD-10052</t>
  </si>
  <si>
    <t>ORD-10053</t>
  </si>
  <si>
    <t>SKU-4496</t>
  </si>
  <si>
    <t>ORD-10054</t>
  </si>
  <si>
    <t>ORD-10055</t>
  </si>
  <si>
    <t>ORD-10056</t>
  </si>
  <si>
    <t>SKU-5009</t>
  </si>
  <si>
    <t>ORD-10057</t>
  </si>
  <si>
    <t>ORD-10058</t>
  </si>
  <si>
    <t>SKU-4471</t>
  </si>
  <si>
    <t>ORD-10059</t>
  </si>
  <si>
    <t>ORD-10060</t>
  </si>
  <si>
    <t>SKU-4485</t>
  </si>
  <si>
    <t>ORD-10061</t>
  </si>
  <si>
    <t>ORD-10062</t>
  </si>
  <si>
    <t>ORD-10063</t>
  </si>
  <si>
    <t>ORD-10064</t>
  </si>
  <si>
    <t>ORD-10065</t>
  </si>
  <si>
    <t>ORD-10066</t>
  </si>
  <si>
    <t>ORD-10067</t>
  </si>
  <si>
    <t>ORD-10068</t>
  </si>
  <si>
    <t>ORD-10069</t>
  </si>
  <si>
    <t>SKU-5001</t>
  </si>
  <si>
    <t>ORD-10070</t>
  </si>
  <si>
    <t>ORD-10071</t>
  </si>
  <si>
    <t>ORD-10072</t>
  </si>
  <si>
    <t>SKU-4465</t>
  </si>
  <si>
    <t>ORD-10073</t>
  </si>
  <si>
    <t>SKU-4462</t>
  </si>
  <si>
    <t>ORD-10074</t>
  </si>
  <si>
    <t>ORD-10075</t>
  </si>
  <si>
    <t>ORD-10076</t>
  </si>
  <si>
    <t>ORD-10077</t>
  </si>
  <si>
    <t>ORD-10078</t>
  </si>
  <si>
    <t>ORD-10079</t>
  </si>
  <si>
    <t>ORD-10080</t>
  </si>
  <si>
    <t>ORD-10081</t>
  </si>
  <si>
    <t>ORD-10082</t>
  </si>
  <si>
    <t>SKU-5015</t>
  </si>
  <si>
    <t>ORD-10083</t>
  </si>
  <si>
    <t>SKU-4468</t>
  </si>
  <si>
    <t>ORD-10084</t>
  </si>
  <si>
    <t>ORD-10085</t>
  </si>
  <si>
    <t>ORD-10086</t>
  </si>
  <si>
    <t>ORD-10087</t>
  </si>
  <si>
    <t>ORD-10088</t>
  </si>
  <si>
    <t>ORD-10089</t>
  </si>
  <si>
    <t>ORD-10090</t>
  </si>
  <si>
    <t>SKU-4497</t>
  </si>
  <si>
    <t>ORD-10091</t>
  </si>
  <si>
    <t>ORD-10092</t>
  </si>
  <si>
    <t>ORD-10093</t>
  </si>
  <si>
    <t>ORD-10094</t>
  </si>
  <si>
    <t>ORD-10095</t>
  </si>
  <si>
    <t>ORD-10096</t>
  </si>
  <si>
    <t>ORD-10097</t>
  </si>
  <si>
    <t>ORD-10098</t>
  </si>
  <si>
    <t>SKU-5018</t>
  </si>
  <si>
    <t>ORD-10099</t>
  </si>
  <si>
    <t>EMEA</t>
  </si>
  <si>
    <t>ORD-10100</t>
  </si>
  <si>
    <t>ORD-10101</t>
  </si>
  <si>
    <t>ORD-10102</t>
  </si>
  <si>
    <t>ORD-10103</t>
  </si>
  <si>
    <t>ORD-10104</t>
  </si>
  <si>
    <t>ORD-10105</t>
  </si>
  <si>
    <t>SKU-4486</t>
  </si>
  <si>
    <t>ORD-10106</t>
  </si>
  <si>
    <t>ORD-10107</t>
  </si>
  <si>
    <t>ORD-10108</t>
  </si>
  <si>
    <t>ORD-10109</t>
  </si>
  <si>
    <t>SKU-4479</t>
  </si>
  <si>
    <t>ORD-10110</t>
  </si>
  <si>
    <t>ORD-10111</t>
  </si>
  <si>
    <t>ORD-10112</t>
  </si>
  <si>
    <t>ORD-10113</t>
  </si>
  <si>
    <t>ORD-10114</t>
  </si>
  <si>
    <t>ORD-10115</t>
  </si>
  <si>
    <t>ORD-10116</t>
  </si>
  <si>
    <t>ORD-10117</t>
  </si>
  <si>
    <t>ORD-10118</t>
  </si>
  <si>
    <t>ORD-10119</t>
  </si>
  <si>
    <t>ORD-10120</t>
  </si>
  <si>
    <t>ORD-10121</t>
  </si>
  <si>
    <t>ORD-10122</t>
  </si>
  <si>
    <t>ORD-10123</t>
  </si>
  <si>
    <t>ORD-10124</t>
  </si>
  <si>
    <t>ORD-10125</t>
  </si>
  <si>
    <t>ORD-10126</t>
  </si>
  <si>
    <t>ORD-10127</t>
  </si>
  <si>
    <t>ORD-10128</t>
  </si>
  <si>
    <t>ORD-10129</t>
  </si>
  <si>
    <t>ORD-10130</t>
  </si>
  <si>
    <t>ORD-10131</t>
  </si>
  <si>
    <t>ORD-10132</t>
  </si>
  <si>
    <t>ORD-10133</t>
  </si>
  <si>
    <t>ORD-10134</t>
  </si>
  <si>
    <t>ORD-10135</t>
  </si>
  <si>
    <t>ORD-10136</t>
  </si>
  <si>
    <t>ORD-10137</t>
  </si>
  <si>
    <t>ORD-10138</t>
  </si>
  <si>
    <t>ORD-10139</t>
  </si>
  <si>
    <t>ORD-10140</t>
  </si>
  <si>
    <t>ORD-10141</t>
  </si>
  <si>
    <t>ORD-10142</t>
  </si>
  <si>
    <t>ORD-10143</t>
  </si>
  <si>
    <t>ORD-10144</t>
  </si>
  <si>
    <t>ORD-10145</t>
  </si>
  <si>
    <t>ORD-10146</t>
  </si>
  <si>
    <t>ORD-10147</t>
  </si>
  <si>
    <t>ORD-10148</t>
  </si>
  <si>
    <t>ORD-10149</t>
  </si>
  <si>
    <t>ORD-10150</t>
  </si>
  <si>
    <t>ORD-10151</t>
  </si>
  <si>
    <t>ORD-10152</t>
  </si>
  <si>
    <t>ORD-10153</t>
  </si>
  <si>
    <t>ORD-10154</t>
  </si>
  <si>
    <t>ORD-10155</t>
  </si>
  <si>
    <t>ORD-10156</t>
  </si>
  <si>
    <t>ORD-10157</t>
  </si>
  <si>
    <t>ORD-10158</t>
  </si>
  <si>
    <t>ORD-10159</t>
  </si>
  <si>
    <t>ORD-10160</t>
  </si>
  <si>
    <t>ORD-10161</t>
  </si>
  <si>
    <t>ORD-10162</t>
  </si>
  <si>
    <t>APAC</t>
  </si>
  <si>
    <t>ORD-10163</t>
  </si>
  <si>
    <t>ORD-10164</t>
  </si>
  <si>
    <t>ORD-10165</t>
  </si>
  <si>
    <t>ORD-10166</t>
  </si>
  <si>
    <t>ORD-10167</t>
  </si>
  <si>
    <t>ORD-10168</t>
  </si>
  <si>
    <t>ORD-10169</t>
  </si>
  <si>
    <t>ORD-10170</t>
  </si>
  <si>
    <t>ORD-10171</t>
  </si>
  <si>
    <t>ORD-10172</t>
  </si>
  <si>
    <t>ORD-10173</t>
  </si>
  <si>
    <t>ORD-10174</t>
  </si>
  <si>
    <t>ORD-10175</t>
  </si>
  <si>
    <t>ORD-10176</t>
  </si>
  <si>
    <t>ORD-10177</t>
  </si>
  <si>
    <t>ORD-10178</t>
  </si>
  <si>
    <t>ORD-10179</t>
  </si>
  <si>
    <t>SKU-4489</t>
  </si>
  <si>
    <t>LATAM</t>
  </si>
  <si>
    <t>ORD-10180</t>
  </si>
  <si>
    <t>ORD-10181</t>
  </si>
  <si>
    <t>ORD-10182</t>
  </si>
  <si>
    <t>ORD-10183</t>
  </si>
  <si>
    <t>ORD-10184</t>
  </si>
  <si>
    <t>ORD-10185</t>
  </si>
  <si>
    <t>ORD-10186</t>
  </si>
  <si>
    <t>ORD-10187</t>
  </si>
  <si>
    <t>ORD-10188</t>
  </si>
  <si>
    <t>ORD-10189</t>
  </si>
  <si>
    <t>ORD-10190</t>
  </si>
  <si>
    <t>ORD-10191</t>
  </si>
  <si>
    <t>ORD-10192</t>
  </si>
  <si>
    <t>ORD-10193</t>
  </si>
  <si>
    <t>ORD-10194</t>
  </si>
  <si>
    <t>ORD-10195</t>
  </si>
  <si>
    <t>ORD-10196</t>
  </si>
  <si>
    <t>ORD-10197</t>
  </si>
  <si>
    <t>ORD-10198</t>
  </si>
  <si>
    <t>ORD-10199</t>
  </si>
  <si>
    <t>ORD-10200</t>
  </si>
  <si>
    <t>list_price</t>
  </si>
  <si>
    <t>effective_date</t>
  </si>
  <si>
    <t>last_modified_by</t>
  </si>
  <si>
    <t>approval_ref</t>
  </si>
  <si>
    <t>s.patel</t>
  </si>
  <si>
    <t>APR-3805</t>
  </si>
  <si>
    <t>r.okonkwo</t>
  </si>
  <si>
    <t>APR-2344</t>
  </si>
  <si>
    <t>m.jensen</t>
  </si>
  <si>
    <t>APR-3556</t>
  </si>
  <si>
    <t>t.almeida</t>
  </si>
  <si>
    <t>APR-9161</t>
  </si>
  <si>
    <t>APR-5007</t>
  </si>
  <si>
    <t>APR-6930</t>
  </si>
  <si>
    <t>APR-9742</t>
  </si>
  <si>
    <t>APR-3751</t>
  </si>
  <si>
    <t>APR-3810</t>
  </si>
  <si>
    <t>APR-6614</t>
  </si>
  <si>
    <t>l.vasquez</t>
  </si>
  <si>
    <t>APR-3536</t>
  </si>
  <si>
    <t>APR-6354</t>
  </si>
  <si>
    <t>d.fairbanks</t>
  </si>
  <si>
    <t>APR-5554</t>
  </si>
  <si>
    <t>APR-3464</t>
  </si>
  <si>
    <t>APR-9628</t>
  </si>
  <si>
    <t>APR-5341</t>
  </si>
  <si>
    <t>APR-8448</t>
  </si>
  <si>
    <t>APR-3735</t>
  </si>
  <si>
    <t>APR-2202</t>
  </si>
  <si>
    <t>APR-8295</t>
  </si>
  <si>
    <t>APR-5327</t>
  </si>
  <si>
    <t>APR-3034</t>
  </si>
  <si>
    <t>APR-9437</t>
  </si>
  <si>
    <t>APR-8162</t>
  </si>
  <si>
    <t>APR-4772</t>
  </si>
  <si>
    <t>APR-3950</t>
  </si>
  <si>
    <t>APR-5005</t>
  </si>
  <si>
    <t>APR-9917</t>
  </si>
  <si>
    <t>APR-5875</t>
  </si>
  <si>
    <t>APR-7079</t>
  </si>
  <si>
    <t>APR-7405</t>
  </si>
  <si>
    <t>APR-5252</t>
  </si>
  <si>
    <t>APR-6338</t>
  </si>
  <si>
    <t>APR-5457</t>
  </si>
  <si>
    <t>APR-8078</t>
  </si>
  <si>
    <t>APR-2272</t>
  </si>
  <si>
    <t>APR-8798</t>
  </si>
  <si>
    <t>APR-8307</t>
  </si>
  <si>
    <t>APR-9695</t>
  </si>
  <si>
    <t>APR-8977</t>
  </si>
  <si>
    <t>APR-9480</t>
  </si>
  <si>
    <t>APR-7401</t>
  </si>
  <si>
    <t>APR-4782</t>
  </si>
  <si>
    <t>APR-1546</t>
  </si>
  <si>
    <t>rate_date</t>
  </si>
  <si>
    <t>usd_per_unit</t>
  </si>
  <si>
    <t>adj_id</t>
  </si>
  <si>
    <t>entry_date</t>
  </si>
  <si>
    <t>amount_usd</t>
  </si>
  <si>
    <t>reason</t>
  </si>
  <si>
    <t>author</t>
  </si>
  <si>
    <t>source</t>
  </si>
  <si>
    <t>ADJ-001</t>
  </si>
  <si>
    <t>Q3 rebate accrual per CFO email</t>
  </si>
  <si>
    <t>email from CFO, 2026-09-29</t>
  </si>
  <si>
    <t>ADJ-002</t>
  </si>
  <si>
    <t>Reverse duplicate LATAM shipment billed twice</t>
  </si>
  <si>
    <t>Slack thread #q3-close</t>
  </si>
  <si>
    <t>line_native</t>
  </si>
  <si>
    <t>usd_rate</t>
  </si>
  <si>
    <t>line_usd</t>
  </si>
  <si>
    <t>Halloway Instruments - FY2026 Q3 close</t>
  </si>
  <si>
    <t>Close date</t>
  </si>
  <si>
    <t>Revenue by region (USD)</t>
  </si>
  <si>
    <t>Gross revenue</t>
  </si>
  <si>
    <t>Manual adjustments</t>
  </si>
  <si>
    <t>Q3 Net Revenue</t>
  </si>
</sst>
</file>

<file path=xl/styles.xml><?xml version="1.0" encoding="utf-8"?>
<styleSheet xmlns="http://schemas.openxmlformats.org/spreadsheetml/2006/main">
  <numFmts count="3">
    <numFmt numFmtId="164" formatCode="yyyy-mm-dd"/>
    <numFmt numFmtId="165" formatCode="#,##0.00"/>
    <numFmt numFmtId="166" formatCode="0.0000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/>
    <xf numFmtId="164" fontId="0" fillId="0" borderId="0" xfId="0" applyNumberFormat="1"/>
    <xf numFmtId="165" fontId="0" fillId="0" borderId="0" xfId="0" applyNumberFormat="1"/>
    <xf numFmtId="166" fontId="0" fillId="0" borderId="0" xfId="0" applyNumberFormat="1"/>
    <xf numFmtId="1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theme" Target="theme/theme1.xml"/><Relationship Id="rId8" Type="http://schemas.openxmlformats.org/officeDocument/2006/relationships/styles" Target="styles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0"/>
  <sheetViews>
    <sheetView tabSelected="1" workbookViewId="0"/>
  </sheetViews>
  <sheetFormatPr defaultRowHeight="15"/>
  <cols>
    <col min="1" max="1" width="26.7109375" customWidth="1"/>
    <col min="2" max="2" width="16.7109375" customWidth="1"/>
  </cols>
  <sheetData>
    <row r="1" spans="1:2">
      <c r="A1" s="1" t="s">
        <v>332</v>
      </c>
    </row>
    <row r="2" spans="1:2">
      <c r="A2" t="s">
        <v>333</v>
      </c>
      <c r="B2" s="2">
        <v>46295</v>
      </c>
    </row>
    <row r="3" spans="1:2">
      <c r="A3" s="1" t="s">
        <v>334</v>
      </c>
    </row>
    <row r="4" spans="1:2">
      <c r="A4" t="s">
        <v>9</v>
      </c>
      <c r="B4" s="3">
        <f>SUMIFS(Revenue!$F$2:$F$201,Revenue!$B$2:$B$201,A4)</f>
        <v>2458748.77</v>
      </c>
    </row>
    <row r="5" spans="1:2">
      <c r="A5" t="s">
        <v>154</v>
      </c>
      <c r="B5" s="3">
        <f>SUMIFS(Revenue!$F$2:$F$201,Revenue!$B$2:$B$201,A5)</f>
        <v>1438082.9</v>
      </c>
    </row>
    <row r="6" spans="1:2">
      <c r="A6" t="s">
        <v>220</v>
      </c>
      <c r="B6" s="3">
        <f>SUMIFS(Revenue!$F$2:$F$201,Revenue!$B$2:$B$201,A6)</f>
        <v>460839.71</v>
      </c>
    </row>
    <row r="7" spans="1:2">
      <c r="A7" t="s">
        <v>239</v>
      </c>
      <c r="B7" s="3">
        <f>SUMIFS(Revenue!$F$2:$F$201,Revenue!$B$2:$B$201,A7)</f>
        <v>511626.09</v>
      </c>
    </row>
    <row r="8" spans="1:2">
      <c r="A8" t="s">
        <v>335</v>
      </c>
      <c r="B8" s="3">
        <f>SUM(B4:B7)</f>
        <v>4869297.47</v>
      </c>
    </row>
    <row r="9" spans="1:2">
      <c r="A9" t="s">
        <v>336</v>
      </c>
      <c r="B9" s="3">
        <f>SUM(Adjustments!C2:C3)</f>
        <v>67500.0</v>
      </c>
    </row>
    <row r="10" spans="1:2">
      <c r="A10" s="1" t="s">
        <v>337</v>
      </c>
      <c r="B10" s="3">
        <f>B8+B9</f>
        <v>4936797.47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F201"/>
  <sheetViews>
    <sheetView workbookViewId="0"/>
  </sheetViews>
  <sheetFormatPr defaultRowHeight="15"/>
  <sheetData>
    <row r="1" spans="1:6">
      <c r="A1" s="1" t="s">
        <v>0</v>
      </c>
      <c r="B1" s="1" t="s">
        <v>4</v>
      </c>
      <c r="C1" s="1" t="s">
        <v>5</v>
      </c>
      <c r="D1" s="1" t="s">
        <v>329</v>
      </c>
      <c r="E1" s="1" t="s">
        <v>330</v>
      </c>
      <c r="F1" s="1" t="s">
        <v>331</v>
      </c>
    </row>
    <row r="2" spans="1:6">
      <c r="A2" t="str">
        <f>Orders!A2</f>
        <v>ORD-10001</v>
      </c>
      <c r="B2" t="str">
        <f>Orders!E2</f>
        <v>AMER</v>
      </c>
      <c r="C2" t="str">
        <f>Orders!F2</f>
        <v>EUR</v>
      </c>
      <c r="D2" s="3">
        <f>Orders!D2*VLOOKUP(Orders!C2,Pricebook!$A$2:$B$48,2,FALSE)</f>
        <v>8190.0</v>
      </c>
      <c r="E2" s="4">
        <f>SUMIFS(FX!$C$2:$C$277,FX!$A$2:$A$277,Summary!$B$2,FX!$B$2:$B$277,C2)</f>
        <v>1.0934</v>
      </c>
      <c r="F2" s="3">
        <f>ROUND(D2*E2,2)</f>
        <v>8954.95</v>
      </c>
    </row>
    <row r="3" spans="1:6">
      <c r="A3" t="str">
        <f>Orders!A3</f>
        <v>ORD-10002</v>
      </c>
      <c r="B3" t="str">
        <f>Orders!E3</f>
        <v>AMER</v>
      </c>
      <c r="C3" t="str">
        <f>Orders!F3</f>
        <v>USD</v>
      </c>
      <c r="D3" s="3">
        <f>Orders!D3*VLOOKUP(Orders!C3,Pricebook!$A$2:$B$48,2,FALSE)</f>
        <v>12420.0</v>
      </c>
      <c r="E3" s="4">
        <f>SUMIFS(FX!$C$2:$C$277,FX!$A$2:$A$277,Summary!$B$2,FX!$B$2:$B$277,C3)</f>
        <v>1.0</v>
      </c>
      <c r="F3" s="3">
        <f>ROUND(D3*E3,2)</f>
        <v>12420.0</v>
      </c>
    </row>
    <row r="4" spans="1:6">
      <c r="A4" t="str">
        <f>Orders!A4</f>
        <v>ORD-10003</v>
      </c>
      <c r="B4" t="str">
        <f>Orders!E4</f>
        <v>AMER</v>
      </c>
      <c r="C4" t="str">
        <f>Orders!F4</f>
        <v>USD</v>
      </c>
      <c r="D4" s="3">
        <f>Orders!D4*VLOOKUP(Orders!C4,Pricebook!$A$2:$B$48,2,FALSE)</f>
        <v>4350.0</v>
      </c>
      <c r="E4" s="4">
        <f>SUMIFS(FX!$C$2:$C$277,FX!$A$2:$A$277,Summary!$B$2,FX!$B$2:$B$277,C4)</f>
        <v>1.0</v>
      </c>
      <c r="F4" s="3">
        <f>ROUND(D4*E4,2)</f>
        <v>4350.0</v>
      </c>
    </row>
    <row r="5" spans="1:6">
      <c r="A5" t="str">
        <f>Orders!A5</f>
        <v>ORD-10004</v>
      </c>
      <c r="B5" t="str">
        <f>Orders!E5</f>
        <v>AMER</v>
      </c>
      <c r="C5" t="str">
        <f>Orders!F5</f>
        <v>USD</v>
      </c>
      <c r="D5" s="3">
        <f>Orders!D5*VLOOKUP(Orders!C5,Pricebook!$A$2:$B$48,2,FALSE)</f>
        <v>31800.0</v>
      </c>
      <c r="E5" s="4">
        <f>SUMIFS(FX!$C$2:$C$277,FX!$A$2:$A$277,Summary!$B$2,FX!$B$2:$B$277,C5)</f>
        <v>1.0</v>
      </c>
      <c r="F5" s="3">
        <f>ROUND(D5*E5,2)</f>
        <v>31800.0</v>
      </c>
    </row>
    <row r="6" spans="1:6">
      <c r="A6" t="str">
        <f>Orders!A6</f>
        <v>ORD-10005</v>
      </c>
      <c r="B6" t="str">
        <f>Orders!E6</f>
        <v>AMER</v>
      </c>
      <c r="C6" t="str">
        <f>Orders!F6</f>
        <v>USD</v>
      </c>
      <c r="D6" s="3">
        <f>Orders!D6*VLOOKUP(Orders!C6,Pricebook!$A$2:$B$48,2,FALSE)</f>
        <v>38880.0</v>
      </c>
      <c r="E6" s="4">
        <f>SUMIFS(FX!$C$2:$C$277,FX!$A$2:$A$277,Summary!$B$2,FX!$B$2:$B$277,C6)</f>
        <v>1.0</v>
      </c>
      <c r="F6" s="3">
        <f>ROUND(D6*E6,2)</f>
        <v>38880.0</v>
      </c>
    </row>
    <row r="7" spans="1:6">
      <c r="A7" t="str">
        <f>Orders!A7</f>
        <v>ORD-10006</v>
      </c>
      <c r="B7" t="str">
        <f>Orders!E7</f>
        <v>AMER</v>
      </c>
      <c r="C7" t="str">
        <f>Orders!F7</f>
        <v>EUR</v>
      </c>
      <c r="D7" s="3">
        <f>Orders!D7*VLOOKUP(Orders!C7,Pricebook!$A$2:$B$48,2,FALSE)</f>
        <v>17010.0</v>
      </c>
      <c r="E7" s="4">
        <f>SUMIFS(FX!$C$2:$C$277,FX!$A$2:$A$277,Summary!$B$2,FX!$B$2:$B$277,C7)</f>
        <v>1.0934</v>
      </c>
      <c r="F7" s="3">
        <f>ROUND(D7*E7,2)</f>
        <v>18598.73</v>
      </c>
    </row>
    <row r="8" spans="1:6">
      <c r="A8" t="str">
        <f>Orders!A8</f>
        <v>ORD-10007</v>
      </c>
      <c r="B8" t="str">
        <f>Orders!E8</f>
        <v>AMER</v>
      </c>
      <c r="C8" t="str">
        <f>Orders!F8</f>
        <v>GBP</v>
      </c>
      <c r="D8" s="3">
        <f>Orders!D8*VLOOKUP(Orders!C8,Pricebook!$A$2:$B$48,2,FALSE)</f>
        <v>39480.0</v>
      </c>
      <c r="E8" s="4">
        <f>SUMIFS(FX!$C$2:$C$277,FX!$A$2:$A$277,Summary!$B$2,FX!$B$2:$B$277,C8)</f>
        <v>1.2657</v>
      </c>
      <c r="F8" s="3">
        <f>ROUND(D8*E8,2)</f>
        <v>49969.84</v>
      </c>
    </row>
    <row r="9" spans="1:6">
      <c r="A9" t="str">
        <f>Orders!A9</f>
        <v>ORD-10008</v>
      </c>
      <c r="B9" t="str">
        <f>Orders!E9</f>
        <v>AMER</v>
      </c>
      <c r="C9" t="str">
        <f>Orders!F9</f>
        <v>USD</v>
      </c>
      <c r="D9" s="3">
        <f>Orders!D9*VLOOKUP(Orders!C9,Pricebook!$A$2:$B$48,2,FALSE)</f>
        <v>29200.0</v>
      </c>
      <c r="E9" s="4">
        <f>SUMIFS(FX!$C$2:$C$277,FX!$A$2:$A$277,Summary!$B$2,FX!$B$2:$B$277,C9)</f>
        <v>1.0</v>
      </c>
      <c r="F9" s="3">
        <f>ROUND(D9*E9,2)</f>
        <v>29200.0</v>
      </c>
    </row>
    <row r="10" spans="1:6">
      <c r="A10" t="str">
        <f>Orders!A10</f>
        <v>ORD-10009</v>
      </c>
      <c r="B10" t="str">
        <f>Orders!E10</f>
        <v>AMER</v>
      </c>
      <c r="C10" t="str">
        <f>Orders!F10</f>
        <v>EUR</v>
      </c>
      <c r="D10" s="3">
        <f>Orders!D10*VLOOKUP(Orders!C10,Pricebook!$A$2:$B$48,2,FALSE)</f>
        <v>17760.0</v>
      </c>
      <c r="E10" s="4">
        <f>SUMIFS(FX!$C$2:$C$277,FX!$A$2:$A$277,Summary!$B$2,FX!$B$2:$B$277,C10)</f>
        <v>1.0934</v>
      </c>
      <c r="F10" s="3">
        <f>ROUND(D10*E10,2)</f>
        <v>19418.78</v>
      </c>
    </row>
    <row r="11" spans="1:6">
      <c r="A11" t="str">
        <f>Orders!A11</f>
        <v>ORD-10010</v>
      </c>
      <c r="B11" t="str">
        <f>Orders!E11</f>
        <v>AMER</v>
      </c>
      <c r="C11" t="str">
        <f>Orders!F11</f>
        <v>USD</v>
      </c>
      <c r="D11" s="3">
        <f>Orders!D11*VLOOKUP(Orders!C11,Pricebook!$A$2:$B$48,2,FALSE)</f>
        <v>18060.0</v>
      </c>
      <c r="E11" s="4">
        <f>SUMIFS(FX!$C$2:$C$277,FX!$A$2:$A$277,Summary!$B$2,FX!$B$2:$B$277,C11)</f>
        <v>1.0</v>
      </c>
      <c r="F11" s="3">
        <f>ROUND(D11*E11,2)</f>
        <v>18060.0</v>
      </c>
    </row>
    <row r="12" spans="1:6">
      <c r="A12" t="str">
        <f>Orders!A12</f>
        <v>ORD-10011</v>
      </c>
      <c r="B12" t="str">
        <f>Orders!E12</f>
        <v>AMER</v>
      </c>
      <c r="C12" t="str">
        <f>Orders!F12</f>
        <v>USD</v>
      </c>
      <c r="D12" s="3">
        <v>32175</v>
      </c>
      <c r="E12" s="4">
        <f>SUMIFS(FX!$C$2:$C$277,FX!$A$2:$A$277,Summary!$B$2,FX!$B$2:$B$277,C12)</f>
        <v>1.0</v>
      </c>
      <c r="F12" s="3">
        <f>ROUND(D12*E12,2)</f>
        <v>32175.0</v>
      </c>
    </row>
    <row r="13" spans="1:6">
      <c r="A13" t="str">
        <f>Orders!A13</f>
        <v>ORD-10012</v>
      </c>
      <c r="B13" t="str">
        <f>Orders!E13</f>
        <v>AMER</v>
      </c>
      <c r="C13" t="str">
        <f>Orders!F13</f>
        <v>USD</v>
      </c>
      <c r="D13" s="3">
        <f>Orders!D13*VLOOKUP(Orders!C13,Pricebook!$A$2:$B$48,2,FALSE)</f>
        <v>25530.0</v>
      </c>
      <c r="E13" s="4">
        <f>SUMIFS(FX!$C$2:$C$277,FX!$A$2:$A$277,Summary!$B$2,FX!$B$2:$B$277,C13)</f>
        <v>1.0</v>
      </c>
      <c r="F13" s="3">
        <f>ROUND(D13*E13,2)</f>
        <v>25530.0</v>
      </c>
    </row>
    <row r="14" spans="1:6">
      <c r="A14" t="str">
        <f>Orders!A14</f>
        <v>ORD-10013</v>
      </c>
      <c r="B14" t="str">
        <f>Orders!E14</f>
        <v>AMER</v>
      </c>
      <c r="C14" t="str">
        <f>Orders!F14</f>
        <v>EUR</v>
      </c>
      <c r="D14" s="3">
        <f>Orders!D14*VLOOKUP(Orders!C14,Pricebook!$A$2:$B$48,2,FALSE)</f>
        <v>35880.0</v>
      </c>
      <c r="E14" s="4">
        <f>SUMIFS(FX!$C$2:$C$277,FX!$A$2:$A$277,Summary!$B$2,FX!$B$2:$B$277,C14)</f>
        <v>1.0934</v>
      </c>
      <c r="F14" s="3">
        <f>ROUND(D14*E14,2)</f>
        <v>39231.19</v>
      </c>
    </row>
    <row r="15" spans="1:6">
      <c r="A15" t="str">
        <f>Orders!A15</f>
        <v>ORD-10014</v>
      </c>
      <c r="B15" t="str">
        <f>Orders!E15</f>
        <v>AMER</v>
      </c>
      <c r="C15" t="str">
        <f>Orders!F15</f>
        <v>EUR</v>
      </c>
      <c r="D15" s="3">
        <f>Orders!D15*VLOOKUP(Orders!C15,Pricebook!$A$2:$B$48,2,FALSE)</f>
        <v>30160.0</v>
      </c>
      <c r="E15" s="4">
        <f>SUMIFS(FX!$C$2:$C$277,FX!$A$2:$A$277,Summary!$B$2,FX!$B$2:$B$277,C15)</f>
        <v>1.0934</v>
      </c>
      <c r="F15" s="3">
        <f>ROUND(D15*E15,2)</f>
        <v>32976.94</v>
      </c>
    </row>
    <row r="16" spans="1:6">
      <c r="A16" t="str">
        <f>Orders!A16</f>
        <v>ORD-10015</v>
      </c>
      <c r="B16" t="str">
        <f>Orders!E16</f>
        <v>AMER</v>
      </c>
      <c r="C16" t="str">
        <f>Orders!F16</f>
        <v>EUR</v>
      </c>
      <c r="D16" s="3">
        <f>Orders!D16*VLOOKUP(Orders!C16,Pricebook!$A$2:$B$48,2,FALSE)</f>
        <v>24840.0</v>
      </c>
      <c r="E16" s="4">
        <f>SUMIFS(FX!$C$2:$C$277,FX!$A$2:$A$277,Summary!$B$2,FX!$B$2:$B$277,C16)</f>
        <v>1.0934</v>
      </c>
      <c r="F16" s="3">
        <f>ROUND(D16*E16,2)</f>
        <v>27160.06</v>
      </c>
    </row>
    <row r="17" spans="1:6">
      <c r="A17" t="str">
        <f>Orders!A17</f>
        <v>ORD-10016</v>
      </c>
      <c r="B17" t="str">
        <f>Orders!E17</f>
        <v>AMER</v>
      </c>
      <c r="C17" t="str">
        <f>Orders!F17</f>
        <v>GBP</v>
      </c>
      <c r="D17" s="3">
        <f>Orders!D17*VLOOKUP(Orders!C17,Pricebook!$A$2:$B$48,2,FALSE)</f>
        <v>3160.0</v>
      </c>
      <c r="E17" s="4">
        <f>SUMIFS(FX!$C$2:$C$277,FX!$A$2:$A$277,Summary!$B$2,FX!$B$2:$B$277,C17)</f>
        <v>1.2657</v>
      </c>
      <c r="F17" s="3">
        <f>ROUND(D17*E17,2)</f>
        <v>3999.61</v>
      </c>
    </row>
    <row r="18" spans="1:6">
      <c r="A18" t="str">
        <f>Orders!A18</f>
        <v>ORD-10017</v>
      </c>
      <c r="B18" t="str">
        <f>Orders!E18</f>
        <v>AMER</v>
      </c>
      <c r="C18" t="str">
        <f>Orders!F18</f>
        <v>USD</v>
      </c>
      <c r="D18" s="3">
        <f>Orders!D18*VLOOKUP(Orders!C18,Pricebook!$A$2:$B$48,2,FALSE)</f>
        <v>26280.0</v>
      </c>
      <c r="E18" s="4">
        <f>SUMIFS(FX!$C$2:$C$277,FX!$A$2:$A$277,Summary!$B$2,FX!$B$2:$B$277,C18)</f>
        <v>1.0</v>
      </c>
      <c r="F18" s="3">
        <f>ROUND(D18*E18,2)</f>
        <v>26280.0</v>
      </c>
    </row>
    <row r="19" spans="1:6">
      <c r="A19" t="str">
        <f>Orders!A19</f>
        <v>ORD-10018</v>
      </c>
      <c r="B19" t="str">
        <f>Orders!E19</f>
        <v>AMER</v>
      </c>
      <c r="C19" t="str">
        <f>Orders!F19</f>
        <v>GBP</v>
      </c>
      <c r="D19" s="3">
        <f>Orders!D19*VLOOKUP(Orders!C19,Pricebook!$A$2:$B$48,2,FALSE)</f>
        <v>38070.0</v>
      </c>
      <c r="E19" s="4">
        <f>SUMIFS(FX!$C$2:$C$277,FX!$A$2:$A$277,Summary!$B$2,FX!$B$2:$B$277,C19)</f>
        <v>1.2657</v>
      </c>
      <c r="F19" s="3">
        <f>ROUND(D19*E19,2)</f>
        <v>48185.2</v>
      </c>
    </row>
    <row r="20" spans="1:6">
      <c r="A20" t="str">
        <f>Orders!A20</f>
        <v>ORD-10019</v>
      </c>
      <c r="B20" t="str">
        <f>Orders!E20</f>
        <v>AMER</v>
      </c>
      <c r="C20" t="str">
        <f>Orders!F20</f>
        <v>EUR</v>
      </c>
      <c r="D20" s="3">
        <f>Orders!D20*VLOOKUP(Orders!C20,Pricebook!$A$2:$B$48,2,FALSE)</f>
        <v>9660.0</v>
      </c>
      <c r="E20" s="4">
        <f>SUMIFS(FX!$C$2:$C$277,FX!$A$2:$A$277,Summary!$B$2,FX!$B$2:$B$277,C20)</f>
        <v>1.0934</v>
      </c>
      <c r="F20" s="3">
        <f>ROUND(D20*E20,2)</f>
        <v>10562.24</v>
      </c>
    </row>
    <row r="21" spans="1:6">
      <c r="A21" t="str">
        <f>Orders!A21</f>
        <v>ORD-10020</v>
      </c>
      <c r="B21" t="str">
        <f>Orders!E21</f>
        <v>AMER</v>
      </c>
      <c r="C21" t="str">
        <f>Orders!F21</f>
        <v>USD</v>
      </c>
      <c r="D21" s="3">
        <f>Orders!D21*VLOOKUP(Orders!C21,Pricebook!$A$2:$B$48,2,FALSE)</f>
        <v>11160.0</v>
      </c>
      <c r="E21" s="4">
        <f>SUMIFS(FX!$C$2:$C$277,FX!$A$2:$A$277,Summary!$B$2,FX!$B$2:$B$277,C21)</f>
        <v>1.0</v>
      </c>
      <c r="F21" s="3">
        <f>ROUND(D21*E21,2)</f>
        <v>11160.0</v>
      </c>
    </row>
    <row r="22" spans="1:6">
      <c r="A22" t="str">
        <f>Orders!A22</f>
        <v>ORD-10021</v>
      </c>
      <c r="B22" t="str">
        <f>Orders!E22</f>
        <v>AMER</v>
      </c>
      <c r="C22" t="str">
        <f>Orders!F22</f>
        <v>USD</v>
      </c>
      <c r="D22" s="3">
        <f>Orders!D22*VLOOKUP(Orders!C22,Pricebook!$A$2:$B$48,2,FALSE)</f>
        <v>37800.0</v>
      </c>
      <c r="E22" s="4">
        <f>SUMIFS(FX!$C$2:$C$277,FX!$A$2:$A$277,Summary!$B$2,FX!$B$2:$B$277,C22)</f>
        <v>1.0</v>
      </c>
      <c r="F22" s="3">
        <f>ROUND(D22*E22,2)</f>
        <v>37800.0</v>
      </c>
    </row>
    <row r="23" spans="1:6">
      <c r="A23" t="str">
        <f>Orders!A23</f>
        <v>ORD-10022</v>
      </c>
      <c r="B23" t="str">
        <f>Orders!E23</f>
        <v>AMER</v>
      </c>
      <c r="C23" t="str">
        <f>Orders!F23</f>
        <v>USD</v>
      </c>
      <c r="D23" s="3">
        <f>Orders!D23*VLOOKUP(Orders!C23,Pricebook!$A$2:$B$48,2,FALSE)</f>
        <v>25920.0</v>
      </c>
      <c r="E23" s="4">
        <f>SUMIFS(FX!$C$2:$C$277,FX!$A$2:$A$277,Summary!$B$2,FX!$B$2:$B$277,C23)</f>
        <v>1.0</v>
      </c>
      <c r="F23" s="3">
        <f>ROUND(D23*E23,2)</f>
        <v>25920.0</v>
      </c>
    </row>
    <row r="24" spans="1:6">
      <c r="A24" t="str">
        <f>Orders!A24</f>
        <v>ORD-10023</v>
      </c>
      <c r="B24" t="str">
        <f>Orders!E24</f>
        <v>AMER</v>
      </c>
      <c r="C24" t="str">
        <f>Orders!F24</f>
        <v>GBP</v>
      </c>
      <c r="D24" s="3">
        <f>Orders!D24*VLOOKUP(Orders!C24,Pricebook!$A$2:$B$48,2,FALSE)</f>
        <v>28750.0</v>
      </c>
      <c r="E24" s="4">
        <f>SUMIFS(FX!$C$2:$C$277,FX!$A$2:$A$277,Summary!$B$2,FX!$B$2:$B$277,C24)</f>
        <v>1.2657</v>
      </c>
      <c r="F24" s="3">
        <f>ROUND(D24*E24,2)</f>
        <v>36388.88</v>
      </c>
    </row>
    <row r="25" spans="1:6">
      <c r="A25" t="str">
        <f>Orders!A25</f>
        <v>ORD-10024</v>
      </c>
      <c r="B25" t="str">
        <f>Orders!E25</f>
        <v>AMER</v>
      </c>
      <c r="C25" t="str">
        <f>Orders!F25</f>
        <v>USD</v>
      </c>
      <c r="D25" s="3">
        <f>Orders!D25*VLOOKUP(Orders!C25,Pricebook!$A$2:$B$48,2,FALSE)</f>
        <v>3720.0</v>
      </c>
      <c r="E25" s="4">
        <f>SUMIFS(FX!$C$2:$C$277,FX!$A$2:$A$277,Summary!$B$2,FX!$B$2:$B$277,C25)</f>
        <v>1.0</v>
      </c>
      <c r="F25" s="3">
        <f>ROUND(D25*E25,2)</f>
        <v>3720.0</v>
      </c>
    </row>
    <row r="26" spans="1:6">
      <c r="A26" t="str">
        <f>Orders!A26</f>
        <v>ORD-10025</v>
      </c>
      <c r="B26" t="str">
        <f>Orders!E26</f>
        <v>AMER</v>
      </c>
      <c r="C26" t="str">
        <f>Orders!F26</f>
        <v>EUR</v>
      </c>
      <c r="D26" s="3">
        <f>Orders!D26*VLOOKUP(Orders!C26,Pricebook!$A$2:$B$48,2,FALSE)</f>
        <v>18620.0</v>
      </c>
      <c r="E26" s="4">
        <f>SUMIFS(FX!$C$2:$C$277,FX!$A$2:$A$277,Summary!$B$2,FX!$B$2:$B$277,C26)</f>
        <v>1.0934</v>
      </c>
      <c r="F26" s="3">
        <f>ROUND(D26*E26,2)</f>
        <v>20359.11</v>
      </c>
    </row>
    <row r="27" spans="1:6">
      <c r="A27" t="str">
        <f>Orders!A27</f>
        <v>ORD-10026</v>
      </c>
      <c r="B27" t="str">
        <f>Orders!E27</f>
        <v>AMER</v>
      </c>
      <c r="C27" t="str">
        <f>Orders!F27</f>
        <v>USD</v>
      </c>
      <c r="D27" s="3">
        <f>Orders!D27*VLOOKUP(Orders!C27,Pricebook!$A$2:$B$48,2,FALSE)</f>
        <v>48510.0</v>
      </c>
      <c r="E27" s="4">
        <f>SUMIFS(FX!$C$2:$C$277,FX!$A$2:$A$277,Summary!$B$2,FX!$B$2:$B$277,C27)</f>
        <v>1.0</v>
      </c>
      <c r="F27" s="3">
        <f>ROUND(D27*E27,2)</f>
        <v>48510.0</v>
      </c>
    </row>
    <row r="28" spans="1:6">
      <c r="A28" t="str">
        <f>Orders!A28</f>
        <v>ORD-10027</v>
      </c>
      <c r="B28" t="str">
        <f>Orders!E28</f>
        <v>AMER</v>
      </c>
      <c r="C28" t="str">
        <f>Orders!F28</f>
        <v>EUR</v>
      </c>
      <c r="D28" s="3">
        <f>Orders!D28*VLOOKUP(Orders!C28,Pricebook!$A$2:$B$48,2,FALSE)</f>
        <v>4350.0</v>
      </c>
      <c r="E28" s="4">
        <f>SUMIFS(FX!$C$2:$C$277,FX!$A$2:$A$277,Summary!$B$2,FX!$B$2:$B$277,C28)</f>
        <v>1.0934</v>
      </c>
      <c r="F28" s="3">
        <f>ROUND(D28*E28,2)</f>
        <v>4756.29</v>
      </c>
    </row>
    <row r="29" spans="1:6">
      <c r="A29" t="str">
        <f>Orders!A29</f>
        <v>ORD-10028</v>
      </c>
      <c r="B29" t="str">
        <f>Orders!E29</f>
        <v>AMER</v>
      </c>
      <c r="C29" t="str">
        <f>Orders!F29</f>
        <v>USD</v>
      </c>
      <c r="D29" s="3">
        <f>Orders!D29*VLOOKUP(Orders!C29,Pricebook!$A$2:$B$48,2,FALSE)</f>
        <v>18000.0</v>
      </c>
      <c r="E29" s="4">
        <f>SUMIFS(FX!$C$2:$C$277,FX!$A$2:$A$277,Summary!$B$2,FX!$B$2:$B$277,C29)</f>
        <v>1.0</v>
      </c>
      <c r="F29" s="3">
        <f>ROUND(D29*E29,2)</f>
        <v>18000.0</v>
      </c>
    </row>
    <row r="30" spans="1:6">
      <c r="A30" t="str">
        <f>Orders!A30</f>
        <v>ORD-10029</v>
      </c>
      <c r="B30" t="str">
        <f>Orders!E30</f>
        <v>AMER</v>
      </c>
      <c r="C30" t="str">
        <f>Orders!F30</f>
        <v>USD</v>
      </c>
      <c r="D30" s="3">
        <f>Orders!D30*VLOOKUP(Orders!C30,Pricebook!$A$2:$B$48,2,FALSE)</f>
        <v>17280.0</v>
      </c>
      <c r="E30" s="4">
        <f>SUMIFS(FX!$C$2:$C$277,FX!$A$2:$A$277,Summary!$B$2,FX!$B$2:$B$277,C30)</f>
        <v>1.0</v>
      </c>
      <c r="F30" s="3">
        <f>ROUND(D30*E30,2)</f>
        <v>17280.0</v>
      </c>
    </row>
    <row r="31" spans="1:6">
      <c r="A31" t="str">
        <f>Orders!A31</f>
        <v>ORD-10030</v>
      </c>
      <c r="B31" t="str">
        <f>Orders!E31</f>
        <v>AMER</v>
      </c>
      <c r="C31" t="str">
        <f>Orders!F31</f>
        <v>USD</v>
      </c>
      <c r="D31" s="3">
        <f>Orders!D31*VLOOKUP(Orders!C31,Pricebook!$A$2:$B$48,2,FALSE)</f>
        <v>7250.0</v>
      </c>
      <c r="E31" s="4">
        <f>SUMIFS(FX!$C$2:$C$277,FX!$A$2:$A$277,Summary!$B$2,FX!$B$2:$B$277,C31)</f>
        <v>1.0</v>
      </c>
      <c r="F31" s="3">
        <f>ROUND(D31*E31,2)</f>
        <v>7250.0</v>
      </c>
    </row>
    <row r="32" spans="1:6">
      <c r="A32" t="str">
        <f>Orders!A32</f>
        <v>ORD-10031</v>
      </c>
      <c r="B32" t="str">
        <f>Orders!E32</f>
        <v>AMER</v>
      </c>
      <c r="C32" t="str">
        <f>Orders!F32</f>
        <v>GBP</v>
      </c>
      <c r="D32" s="3">
        <f>Orders!D32*VLOOKUP(Orders!C32,Pricebook!$A$2:$B$48,2,FALSE)</f>
        <v>33450.0</v>
      </c>
      <c r="E32" s="4">
        <f>SUMIFS(FX!$C$2:$C$277,FX!$A$2:$A$277,Summary!$B$2,FX!$B$2:$B$277,C32)</f>
        <v>1.2657</v>
      </c>
      <c r="F32" s="3">
        <f>ROUND(D32*E32,2)</f>
        <v>42337.67</v>
      </c>
    </row>
    <row r="33" spans="1:6">
      <c r="A33" t="str">
        <f>Orders!A33</f>
        <v>ORD-10032</v>
      </c>
      <c r="B33" t="str">
        <f>Orders!E33</f>
        <v>AMER</v>
      </c>
      <c r="C33" t="str">
        <f>Orders!F33</f>
        <v>USD</v>
      </c>
      <c r="D33" s="3">
        <f>Orders!D33*VLOOKUP(Orders!C33,Pricebook!$A$2:$B$48,2,FALSE)</f>
        <v>16660.0</v>
      </c>
      <c r="E33" s="4">
        <f>SUMIFS(FX!$C$2:$C$277,FX!$A$2:$A$277,Summary!$B$2,FX!$B$2:$B$277,C33)</f>
        <v>1.0</v>
      </c>
      <c r="F33" s="3">
        <f>ROUND(D33*E33,2)</f>
        <v>16660.0</v>
      </c>
    </row>
    <row r="34" spans="1:6">
      <c r="A34" t="str">
        <f>Orders!A34</f>
        <v>ORD-10033</v>
      </c>
      <c r="B34" t="str">
        <f>Orders!E34</f>
        <v>AMER</v>
      </c>
      <c r="C34" t="str">
        <f>Orders!F34</f>
        <v>USD</v>
      </c>
      <c r="D34" s="3">
        <f>Orders!D34*VLOOKUP(Orders!C34,Pricebook!$A$2:$B$48,2,FALSE)</f>
        <v>35040.0</v>
      </c>
      <c r="E34" s="4">
        <f>SUMIFS(FX!$C$2:$C$277,FX!$A$2:$A$277,Summary!$B$2,FX!$B$2:$B$277,C34)</f>
        <v>1.0</v>
      </c>
      <c r="F34" s="3">
        <f>ROUND(D34*E34,2)</f>
        <v>35040.0</v>
      </c>
    </row>
    <row r="35" spans="1:6">
      <c r="A35" t="str">
        <f>Orders!A35</f>
        <v>ORD-10034</v>
      </c>
      <c r="B35" t="str">
        <f>Orders!E35</f>
        <v>AMER</v>
      </c>
      <c r="C35" t="str">
        <f>Orders!F35</f>
        <v>EUR</v>
      </c>
      <c r="D35" s="3">
        <f>Orders!D35*VLOOKUP(Orders!C35,Pricebook!$A$2:$B$48,2,FALSE)</f>
        <v>40080.0</v>
      </c>
      <c r="E35" s="4">
        <f>SUMIFS(FX!$C$2:$C$277,FX!$A$2:$A$277,Summary!$B$2,FX!$B$2:$B$277,C35)</f>
        <v>1.0934</v>
      </c>
      <c r="F35" s="3">
        <f>ROUND(D35*E35,2)</f>
        <v>43823.47</v>
      </c>
    </row>
    <row r="36" spans="1:6">
      <c r="A36" t="str">
        <f>Orders!A36</f>
        <v>ORD-10035</v>
      </c>
      <c r="B36" t="str">
        <f>Orders!E36</f>
        <v>AMER</v>
      </c>
      <c r="C36" t="str">
        <f>Orders!F36</f>
        <v>EUR</v>
      </c>
      <c r="D36" s="3">
        <f>Orders!D36*VLOOKUP(Orders!C36,Pricebook!$A$2:$B$48,2,FALSE)</f>
        <v>6600.0</v>
      </c>
      <c r="E36" s="4">
        <f>SUMIFS(FX!$C$2:$C$277,FX!$A$2:$A$277,Summary!$B$2,FX!$B$2:$B$277,C36)</f>
        <v>1.0934</v>
      </c>
      <c r="F36" s="3">
        <f>ROUND(D36*E36,2)</f>
        <v>7216.44</v>
      </c>
    </row>
    <row r="37" spans="1:6">
      <c r="A37" t="str">
        <f>Orders!A37</f>
        <v>ORD-10036</v>
      </c>
      <c r="B37" t="str">
        <f>Orders!E37</f>
        <v>AMER</v>
      </c>
      <c r="C37" t="str">
        <f>Orders!F37</f>
        <v>USD</v>
      </c>
      <c r="D37" s="3">
        <f>Orders!D37*VLOOKUP(Orders!C37,Pricebook!$A$2:$B$48,2,FALSE)</f>
        <v>16800.0</v>
      </c>
      <c r="E37" s="4">
        <f>SUMIFS(FX!$C$2:$C$277,FX!$A$2:$A$277,Summary!$B$2,FX!$B$2:$B$277,C37)</f>
        <v>1.0</v>
      </c>
      <c r="F37" s="3">
        <f>ROUND(D37*E37,2)</f>
        <v>16800.0</v>
      </c>
    </row>
    <row r="38" spans="1:6">
      <c r="A38" t="str">
        <f>Orders!A38</f>
        <v>ORD-10037</v>
      </c>
      <c r="B38" t="str">
        <f>Orders!E38</f>
        <v>AMER</v>
      </c>
      <c r="C38" t="str">
        <f>Orders!F38</f>
        <v>USD</v>
      </c>
      <c r="D38" s="3">
        <f>Orders!D38*VLOOKUP(Orders!C38,Pricebook!$A$2:$B$48,2,FALSE)</f>
        <v>37620.0</v>
      </c>
      <c r="E38" s="4">
        <f>SUMIFS(FX!$C$2:$C$277,FX!$A$2:$A$277,Summary!$B$2,FX!$B$2:$B$277,C38)</f>
        <v>1.0</v>
      </c>
      <c r="F38" s="3">
        <f>ROUND(D38*E38,2)</f>
        <v>37620.0</v>
      </c>
    </row>
    <row r="39" spans="1:6">
      <c r="A39" t="str">
        <f>Orders!A39</f>
        <v>ORD-10038</v>
      </c>
      <c r="B39" t="str">
        <f>Orders!E39</f>
        <v>AMER</v>
      </c>
      <c r="C39" t="str">
        <f>Orders!F39</f>
        <v>USD</v>
      </c>
      <c r="D39" s="3">
        <f>Orders!D39*VLOOKUP(Orders!C39,Pricebook!$A$2:$B$48,2,FALSE)</f>
        <v>41400.0</v>
      </c>
      <c r="E39" s="4">
        <f>SUMIFS(FX!$C$2:$C$277,FX!$A$2:$A$277,Summary!$B$2,FX!$B$2:$B$277,C39)</f>
        <v>1.0</v>
      </c>
      <c r="F39" s="3">
        <f>ROUND(D39*E39,2)</f>
        <v>41400.0</v>
      </c>
    </row>
    <row r="40" spans="1:6">
      <c r="A40" t="str">
        <f>Orders!A40</f>
        <v>ORD-10039</v>
      </c>
      <c r="B40" t="str">
        <f>Orders!E40</f>
        <v>AMER</v>
      </c>
      <c r="C40" t="str">
        <f>Orders!F40</f>
        <v>EUR</v>
      </c>
      <c r="D40" s="3">
        <f>Orders!D40*VLOOKUP(Orders!C40,Pricebook!$A$2:$B$48,2,FALSE)</f>
        <v>23400.0</v>
      </c>
      <c r="E40" s="4">
        <f>SUMIFS(FX!$C$2:$C$277,FX!$A$2:$A$277,Summary!$B$2,FX!$B$2:$B$277,C40)</f>
        <v>1.0934</v>
      </c>
      <c r="F40" s="3">
        <f>ROUND(D40*E40,2)</f>
        <v>25585.56</v>
      </c>
    </row>
    <row r="41" spans="1:6">
      <c r="A41" t="str">
        <f>Orders!A41</f>
        <v>ORD-10040</v>
      </c>
      <c r="B41" t="str">
        <f>Orders!E41</f>
        <v>AMER</v>
      </c>
      <c r="C41" t="str">
        <f>Orders!F41</f>
        <v>USD</v>
      </c>
      <c r="D41" s="3">
        <f>Orders!D41*VLOOKUP(Orders!C41,Pricebook!$A$2:$B$48,2,FALSE)</f>
        <v>16120.0</v>
      </c>
      <c r="E41" s="4">
        <f>SUMIFS(FX!$C$2:$C$277,FX!$A$2:$A$277,Summary!$B$2,FX!$B$2:$B$277,C41)</f>
        <v>1.0</v>
      </c>
      <c r="F41" s="3">
        <f>ROUND(D41*E41,2)</f>
        <v>16120.0</v>
      </c>
    </row>
    <row r="42" spans="1:6">
      <c r="A42" t="str">
        <f>Orders!A42</f>
        <v>ORD-10041</v>
      </c>
      <c r="B42" t="str">
        <f>Orders!E42</f>
        <v>AMER</v>
      </c>
      <c r="C42" t="str">
        <f>Orders!F42</f>
        <v>USD</v>
      </c>
      <c r="D42" s="3">
        <f>Orders!D42*VLOOKUP(Orders!C42,Pricebook!$A$2:$B$48,2,FALSE)</f>
        <v>9660.0</v>
      </c>
      <c r="E42" s="4">
        <f>SUMIFS(FX!$C$2:$C$277,FX!$A$2:$A$277,Summary!$B$2,FX!$B$2:$B$277,C42)</f>
        <v>1.0</v>
      </c>
      <c r="F42" s="3">
        <f>ROUND(D42*E42,2)</f>
        <v>9660.0</v>
      </c>
    </row>
    <row r="43" spans="1:6">
      <c r="A43" t="str">
        <f>Orders!A43</f>
        <v>ORD-10042</v>
      </c>
      <c r="B43" t="str">
        <f>Orders!E43</f>
        <v>AMER</v>
      </c>
      <c r="C43" t="str">
        <f>Orders!F43</f>
        <v>GBP</v>
      </c>
      <c r="D43" s="3">
        <f>Orders!D43*VLOOKUP(Orders!C43,Pricebook!$A$2:$B$48,2,FALSE)</f>
        <v>8440.0</v>
      </c>
      <c r="E43" s="4">
        <f>SUMIFS(FX!$C$2:$C$277,FX!$A$2:$A$277,Summary!$B$2,FX!$B$2:$B$277,C43)</f>
        <v>1.2657</v>
      </c>
      <c r="F43" s="3">
        <f>ROUND(D43*E43,2)</f>
        <v>10682.51</v>
      </c>
    </row>
    <row r="44" spans="1:6">
      <c r="A44" t="str">
        <f>Orders!A44</f>
        <v>ORD-10043</v>
      </c>
      <c r="B44" t="str">
        <f>Orders!E44</f>
        <v>AMER</v>
      </c>
      <c r="C44" t="str">
        <f>Orders!F44</f>
        <v>USD</v>
      </c>
      <c r="D44" s="3">
        <f>Orders!D44*VLOOKUP(Orders!C44,Pricebook!$A$2:$B$48,2,FALSE)</f>
        <v>11780.0</v>
      </c>
      <c r="E44" s="4">
        <f>SUMIFS(FX!$C$2:$C$277,FX!$A$2:$A$277,Summary!$B$2,FX!$B$2:$B$277,C44)</f>
        <v>1.0</v>
      </c>
      <c r="F44" s="3">
        <f>ROUND(D44*E44,2)</f>
        <v>11780.0</v>
      </c>
    </row>
    <row r="45" spans="1:6">
      <c r="A45" t="str">
        <f>Orders!A45</f>
        <v>ORD-10044</v>
      </c>
      <c r="B45" t="str">
        <f>Orders!E45</f>
        <v>AMER</v>
      </c>
      <c r="C45" t="str">
        <f>Orders!F45</f>
        <v>USD</v>
      </c>
      <c r="D45" s="3">
        <f>Orders!D45*VLOOKUP(Orders!C45,Pricebook!$A$2:$B$48,2,FALSE)</f>
        <v>14880.0</v>
      </c>
      <c r="E45" s="4">
        <f>SUMIFS(FX!$C$2:$C$277,FX!$A$2:$A$277,Summary!$B$2,FX!$B$2:$B$277,C45)</f>
        <v>1.0</v>
      </c>
      <c r="F45" s="3">
        <f>ROUND(D45*E45,2)</f>
        <v>14880.0</v>
      </c>
    </row>
    <row r="46" spans="1:6">
      <c r="A46" t="str">
        <f>Orders!A46</f>
        <v>ORD-10045</v>
      </c>
      <c r="B46" t="str">
        <f>Orders!E46</f>
        <v>AMER</v>
      </c>
      <c r="C46" t="str">
        <f>Orders!F46</f>
        <v>USD</v>
      </c>
      <c r="D46" s="3">
        <f>Orders!D46*VLOOKUP(Orders!C46,Pricebook!$A$2:$B$48,2,FALSE)</f>
        <v>7840.0</v>
      </c>
      <c r="E46" s="4">
        <f>SUMIFS(FX!$C$2:$C$277,FX!$A$2:$A$277,Summary!$B$2,FX!$B$2:$B$277,C46)</f>
        <v>1.0</v>
      </c>
      <c r="F46" s="3">
        <f>ROUND(D46*E46,2)</f>
        <v>7840.0</v>
      </c>
    </row>
    <row r="47" spans="1:6">
      <c r="A47" t="str">
        <f>Orders!A47</f>
        <v>ORD-10046</v>
      </c>
      <c r="B47" t="str">
        <f>Orders!E47</f>
        <v>AMER</v>
      </c>
      <c r="C47" t="str">
        <f>Orders!F47</f>
        <v>USD</v>
      </c>
      <c r="D47" s="3">
        <f>Orders!D47*VLOOKUP(Orders!C47,Pricebook!$A$2:$B$48,2,FALSE)</f>
        <v>16120.0</v>
      </c>
      <c r="E47" s="4">
        <f>SUMIFS(FX!$C$2:$C$277,FX!$A$2:$A$277,Summary!$B$2,FX!$B$2:$B$277,C47)</f>
        <v>1.0</v>
      </c>
      <c r="F47" s="3">
        <f>ROUND(D47*E47,2)</f>
        <v>16120.0</v>
      </c>
    </row>
    <row r="48" spans="1:6">
      <c r="A48" t="str">
        <f>Orders!A48</f>
        <v>ORD-10047</v>
      </c>
      <c r="B48" t="str">
        <f>Orders!E48</f>
        <v>AMER</v>
      </c>
      <c r="C48" t="str">
        <f>Orders!F48</f>
        <v>USD</v>
      </c>
      <c r="D48" s="3">
        <f>Orders!D48*VLOOKUP(Orders!C48,Pricebook!$A$2:$B$48,2,FALSE)</f>
        <v>12040.0</v>
      </c>
      <c r="E48" s="4">
        <f>SUMIFS(FX!$C$2:$C$277,FX!$A$2:$A$277,Summary!$B$2,FX!$B$2:$B$277,C48)</f>
        <v>1.0</v>
      </c>
      <c r="F48" s="3">
        <f>ROUND(D48*E48,2)</f>
        <v>12040.0</v>
      </c>
    </row>
    <row r="49" spans="1:6">
      <c r="A49" t="str">
        <f>Orders!A49</f>
        <v>ORD-10048</v>
      </c>
      <c r="B49" t="str">
        <f>Orders!E49</f>
        <v>AMER</v>
      </c>
      <c r="C49" t="str">
        <f>Orders!F49</f>
        <v>GBP</v>
      </c>
      <c r="D49" s="3">
        <f>Orders!D49*VLOOKUP(Orders!C49,Pricebook!$A$2:$B$48,2,FALSE)</f>
        <v>20070.0</v>
      </c>
      <c r="E49" s="4">
        <f>SUMIFS(FX!$C$2:$C$277,FX!$A$2:$A$277,Summary!$B$2,FX!$B$2:$B$277,C49)</f>
        <v>1.2657</v>
      </c>
      <c r="F49" s="3">
        <f>ROUND(D49*E49,2)</f>
        <v>25402.6</v>
      </c>
    </row>
    <row r="50" spans="1:6">
      <c r="A50" t="str">
        <f>Orders!A50</f>
        <v>ORD-10049</v>
      </c>
      <c r="B50" t="str">
        <f>Orders!E50</f>
        <v>AMER</v>
      </c>
      <c r="C50" t="str">
        <f>Orders!F50</f>
        <v>USD</v>
      </c>
      <c r="D50" s="3">
        <f>Orders!D50*VLOOKUP(Orders!C50,Pricebook!$A$2:$B$48,2,FALSE)</f>
        <v>9900.0</v>
      </c>
      <c r="E50" s="4">
        <f>SUMIFS(FX!$C$2:$C$277,FX!$A$2:$A$277,Summary!$B$2,FX!$B$2:$B$277,C50)</f>
        <v>1.0</v>
      </c>
      <c r="F50" s="3">
        <f>ROUND(D50*E50,2)</f>
        <v>9900.0</v>
      </c>
    </row>
    <row r="51" spans="1:6">
      <c r="A51" t="str">
        <f>Orders!A51</f>
        <v>ORD-10050</v>
      </c>
      <c r="B51" t="str">
        <f>Orders!E51</f>
        <v>AMER</v>
      </c>
      <c r="C51" t="str">
        <f>Orders!F51</f>
        <v>EUR</v>
      </c>
      <c r="D51" s="3">
        <f>Orders!D51*VLOOKUP(Orders!C51,Pricebook!$A$2:$B$48,2,FALSE)</f>
        <v>3340.0</v>
      </c>
      <c r="E51" s="4">
        <f>SUMIFS(FX!$C$2:$C$277,FX!$A$2:$A$277,Summary!$B$2,FX!$B$2:$B$277,C51)</f>
        <v>1.0934</v>
      </c>
      <c r="F51" s="3">
        <f>ROUND(D51*E51,2)</f>
        <v>3651.96</v>
      </c>
    </row>
    <row r="52" spans="1:6">
      <c r="A52" t="str">
        <f>Orders!A52</f>
        <v>ORD-10051</v>
      </c>
      <c r="B52" t="str">
        <f>Orders!E52</f>
        <v>AMER</v>
      </c>
      <c r="C52" t="str">
        <f>Orders!F52</f>
        <v>USD</v>
      </c>
      <c r="D52" s="3">
        <f>Orders!D52*VLOOKUP(Orders!C52,Pricebook!$A$2:$B$48,2,FALSE)</f>
        <v>16240.0</v>
      </c>
      <c r="E52" s="4">
        <f>SUMIFS(FX!$C$2:$C$277,FX!$A$2:$A$277,Summary!$B$2,FX!$B$2:$B$277,C52)</f>
        <v>1.0</v>
      </c>
      <c r="F52" s="3">
        <f>ROUND(D52*E52,2)</f>
        <v>16240.0</v>
      </c>
    </row>
    <row r="53" spans="1:6">
      <c r="A53" t="str">
        <f>Orders!A53</f>
        <v>ORD-10052</v>
      </c>
      <c r="B53" t="str">
        <f>Orders!E53</f>
        <v>AMER</v>
      </c>
      <c r="C53" t="str">
        <f>Orders!F53</f>
        <v>USD</v>
      </c>
      <c r="D53" s="3">
        <f>Orders!D53*VLOOKUP(Orders!C53,Pricebook!$A$2:$B$48,2,FALSE)</f>
        <v>31620.0</v>
      </c>
      <c r="E53" s="4">
        <f>SUMIFS(FX!$C$2:$C$277,FX!$A$2:$A$277,Summary!$B$2,FX!$B$2:$B$277,C53)</f>
        <v>1.0</v>
      </c>
      <c r="F53" s="3">
        <f>ROUND(D53*E53,2)</f>
        <v>31620.0</v>
      </c>
    </row>
    <row r="54" spans="1:6">
      <c r="A54" t="str">
        <f>Orders!A54</f>
        <v>ORD-10053</v>
      </c>
      <c r="B54" t="str">
        <f>Orders!E54</f>
        <v>AMER</v>
      </c>
      <c r="C54" t="str">
        <f>Orders!F54</f>
        <v>USD</v>
      </c>
      <c r="D54" s="3">
        <f>Orders!D54*VLOOKUP(Orders!C54,Pricebook!$A$2:$B$48,2,FALSE)</f>
        <v>9800.0</v>
      </c>
      <c r="E54" s="4">
        <f>SUMIFS(FX!$C$2:$C$277,FX!$A$2:$A$277,Summary!$B$2,FX!$B$2:$B$277,C54)</f>
        <v>1.0</v>
      </c>
      <c r="F54" s="3">
        <f>ROUND(D54*E54,2)</f>
        <v>9800.0</v>
      </c>
    </row>
    <row r="55" spans="1:6">
      <c r="A55" t="str">
        <f>Orders!A55</f>
        <v>ORD-10054</v>
      </c>
      <c r="B55" t="str">
        <f>Orders!E55</f>
        <v>AMER</v>
      </c>
      <c r="C55" t="str">
        <f>Orders!F55</f>
        <v>USD</v>
      </c>
      <c r="D55" s="3">
        <f>Orders!D55*VLOOKUP(Orders!C55,Pricebook!$A$2:$B$48,2,FALSE)</f>
        <v>30240.0</v>
      </c>
      <c r="E55" s="4">
        <f>SUMIFS(FX!$C$2:$C$277,FX!$A$2:$A$277,Summary!$B$2,FX!$B$2:$B$277,C55)</f>
        <v>1.0</v>
      </c>
      <c r="F55" s="3">
        <f>ROUND(D55*E55,2)</f>
        <v>30240.0</v>
      </c>
    </row>
    <row r="56" spans="1:6">
      <c r="A56" t="str">
        <f>Orders!A56</f>
        <v>ORD-10055</v>
      </c>
      <c r="B56" t="str">
        <f>Orders!E56</f>
        <v>AMER</v>
      </c>
      <c r="C56" t="str">
        <f>Orders!F56</f>
        <v>USD</v>
      </c>
      <c r="D56" s="3">
        <f>Orders!D56*VLOOKUP(Orders!C56,Pricebook!$A$2:$B$48,2,FALSE)</f>
        <v>24500.0</v>
      </c>
      <c r="E56" s="4">
        <f>SUMIFS(FX!$C$2:$C$277,FX!$A$2:$A$277,Summary!$B$2,FX!$B$2:$B$277,C56)</f>
        <v>1.0</v>
      </c>
      <c r="F56" s="3">
        <f>ROUND(D56*E56,2)</f>
        <v>24500.0</v>
      </c>
    </row>
    <row r="57" spans="1:6">
      <c r="A57" t="str">
        <f>Orders!A57</f>
        <v>ORD-10056</v>
      </c>
      <c r="B57" t="str">
        <f>Orders!E57</f>
        <v>AMER</v>
      </c>
      <c r="C57" t="str">
        <f>Orders!F57</f>
        <v>USD</v>
      </c>
      <c r="D57" s="3">
        <f>Orders!D57*VLOOKUP(Orders!C57,Pricebook!$A$2:$B$48,2,FALSE)</f>
        <v>13440.0</v>
      </c>
      <c r="E57" s="4">
        <f>SUMIFS(FX!$C$2:$C$277,FX!$A$2:$A$277,Summary!$B$2,FX!$B$2:$B$277,C57)</f>
        <v>1.0</v>
      </c>
      <c r="F57" s="3">
        <f>ROUND(D57*E57,2)</f>
        <v>13440.0</v>
      </c>
    </row>
    <row r="58" spans="1:6">
      <c r="A58" t="str">
        <f>Orders!A58</f>
        <v>ORD-10057</v>
      </c>
      <c r="B58" t="str">
        <f>Orders!E58</f>
        <v>AMER</v>
      </c>
      <c r="C58" t="str">
        <f>Orders!F58</f>
        <v>USD</v>
      </c>
      <c r="D58" s="3">
        <f>Orders!D58*VLOOKUP(Orders!C58,Pricebook!$A$2:$B$48,2,FALSE)</f>
        <v>25480.0</v>
      </c>
      <c r="E58" s="4">
        <f>SUMIFS(FX!$C$2:$C$277,FX!$A$2:$A$277,Summary!$B$2,FX!$B$2:$B$277,C58)</f>
        <v>1.0</v>
      </c>
      <c r="F58" s="3">
        <f>ROUND(D58*E58,2)</f>
        <v>25480.0</v>
      </c>
    </row>
    <row r="59" spans="1:6">
      <c r="A59" t="str">
        <f>Orders!A59</f>
        <v>ORD-10058</v>
      </c>
      <c r="B59" t="str">
        <f>Orders!E59</f>
        <v>AMER</v>
      </c>
      <c r="C59" t="str">
        <f>Orders!F59</f>
        <v>USD</v>
      </c>
      <c r="D59" s="3">
        <f>Orders!D59*VLOOKUP(Orders!C59,Pricebook!$A$2:$B$48,2,FALSE)</f>
        <v>29480.0</v>
      </c>
      <c r="E59" s="4">
        <f>SUMIFS(FX!$C$2:$C$277,FX!$A$2:$A$277,Summary!$B$2,FX!$B$2:$B$277,C59)</f>
        <v>1.0</v>
      </c>
      <c r="F59" s="3">
        <f>ROUND(D59*E59,2)</f>
        <v>29480.0</v>
      </c>
    </row>
    <row r="60" spans="1:6">
      <c r="A60" t="str">
        <f>Orders!A60</f>
        <v>ORD-10059</v>
      </c>
      <c r="B60" t="str">
        <f>Orders!E60</f>
        <v>AMER</v>
      </c>
      <c r="C60" t="str">
        <f>Orders!F60</f>
        <v>USD</v>
      </c>
      <c r="D60" s="3">
        <f>Orders!D60*VLOOKUP(Orders!C60,Pricebook!$A$2:$B$48,2,FALSE)</f>
        <v>31500.0</v>
      </c>
      <c r="E60" s="4">
        <f>SUMIFS(FX!$C$2:$C$277,FX!$A$2:$A$277,Summary!$B$2,FX!$B$2:$B$277,C60)</f>
        <v>1.0</v>
      </c>
      <c r="F60" s="3">
        <f>ROUND(D60*E60,2)</f>
        <v>31500.0</v>
      </c>
    </row>
    <row r="61" spans="1:6">
      <c r="A61" t="str">
        <f>Orders!A61</f>
        <v>ORD-10060</v>
      </c>
      <c r="B61" t="str">
        <f>Orders!E61</f>
        <v>AMER</v>
      </c>
      <c r="C61" t="str">
        <f>Orders!F61</f>
        <v>USD</v>
      </c>
      <c r="D61" s="3">
        <f>Orders!D61*VLOOKUP(Orders!C61,Pricebook!$A$2:$B$48,2,FALSE)</f>
        <v>14560.0</v>
      </c>
      <c r="E61" s="4">
        <f>SUMIFS(FX!$C$2:$C$277,FX!$A$2:$A$277,Summary!$B$2,FX!$B$2:$B$277,C61)</f>
        <v>1.0</v>
      </c>
      <c r="F61" s="3">
        <f>ROUND(D61*E61,2)</f>
        <v>14560.0</v>
      </c>
    </row>
    <row r="62" spans="1:6">
      <c r="A62" t="str">
        <f>Orders!A62</f>
        <v>ORD-10061</v>
      </c>
      <c r="B62" t="str">
        <f>Orders!E62</f>
        <v>AMER</v>
      </c>
      <c r="C62" t="str">
        <f>Orders!F62</f>
        <v>EUR</v>
      </c>
      <c r="D62" s="3">
        <f>Orders!D62*VLOOKUP(Orders!C62,Pricebook!$A$2:$B$48,2,FALSE)</f>
        <v>35910.0</v>
      </c>
      <c r="E62" s="4">
        <f>SUMIFS(FX!$C$2:$C$277,FX!$A$2:$A$277,Summary!$B$2,FX!$B$2:$B$277,C62)</f>
        <v>1.0934</v>
      </c>
      <c r="F62" s="3">
        <f>ROUND(D62*E62,2)</f>
        <v>39263.99</v>
      </c>
    </row>
    <row r="63" spans="1:6">
      <c r="A63" t="str">
        <f>Orders!A63</f>
        <v>ORD-10062</v>
      </c>
      <c r="B63" t="str">
        <f>Orders!E63</f>
        <v>AMER</v>
      </c>
      <c r="C63" t="str">
        <f>Orders!F63</f>
        <v>USD</v>
      </c>
      <c r="D63" s="3">
        <f>Orders!D63*VLOOKUP(Orders!C63,Pricebook!$A$2:$B$48,2,FALSE)</f>
        <v>3360.0</v>
      </c>
      <c r="E63" s="4">
        <f>SUMIFS(FX!$C$2:$C$277,FX!$A$2:$A$277,Summary!$B$2,FX!$B$2:$B$277,C63)</f>
        <v>1.0</v>
      </c>
      <c r="F63" s="3">
        <f>ROUND(D63*E63,2)</f>
        <v>3360.0</v>
      </c>
    </row>
    <row r="64" spans="1:6">
      <c r="A64" t="str">
        <f>Orders!A64</f>
        <v>ORD-10063</v>
      </c>
      <c r="B64" t="str">
        <f>Orders!E64</f>
        <v>AMER</v>
      </c>
      <c r="C64" t="str">
        <f>Orders!F64</f>
        <v>GBP</v>
      </c>
      <c r="D64" s="3">
        <f>Orders!D64*VLOOKUP(Orders!C64,Pricebook!$A$2:$B$48,2,FALSE)</f>
        <v>15610.0</v>
      </c>
      <c r="E64" s="4">
        <f>SUMIFS(FX!$C$2:$C$277,FX!$A$2:$A$277,Summary!$B$2,FX!$B$2:$B$277,C64)</f>
        <v>1.2657</v>
      </c>
      <c r="F64" s="3">
        <f>ROUND(D64*E64,2)</f>
        <v>19757.58</v>
      </c>
    </row>
    <row r="65" spans="1:6">
      <c r="A65" t="str">
        <f>Orders!A65</f>
        <v>ORD-10064</v>
      </c>
      <c r="B65" t="str">
        <f>Orders!E65</f>
        <v>AMER</v>
      </c>
      <c r="C65" t="str">
        <f>Orders!F65</f>
        <v>USD</v>
      </c>
      <c r="D65" s="3">
        <f>Orders!D65*VLOOKUP(Orders!C65,Pricebook!$A$2:$B$48,2,FALSE)</f>
        <v>23460.0</v>
      </c>
      <c r="E65" s="4">
        <f>SUMIFS(FX!$C$2:$C$277,FX!$A$2:$A$277,Summary!$B$2,FX!$B$2:$B$277,C65)</f>
        <v>1.0</v>
      </c>
      <c r="F65" s="3">
        <f>ROUND(D65*E65,2)</f>
        <v>23460.0</v>
      </c>
    </row>
    <row r="66" spans="1:6">
      <c r="A66" t="str">
        <f>Orders!A66</f>
        <v>ORD-10065</v>
      </c>
      <c r="B66" t="str">
        <f>Orders!E66</f>
        <v>AMER</v>
      </c>
      <c r="C66" t="str">
        <f>Orders!F66</f>
        <v>GBP</v>
      </c>
      <c r="D66" s="3">
        <f>Orders!D66*VLOOKUP(Orders!C66,Pricebook!$A$2:$B$48,2,FALSE)</f>
        <v>42370.0</v>
      </c>
      <c r="E66" s="4">
        <f>SUMIFS(FX!$C$2:$C$277,FX!$A$2:$A$277,Summary!$B$2,FX!$B$2:$B$277,C66)</f>
        <v>1.2657</v>
      </c>
      <c r="F66" s="3">
        <f>ROUND(D66*E66,2)</f>
        <v>53627.71</v>
      </c>
    </row>
    <row r="67" spans="1:6">
      <c r="A67" t="str">
        <f>Orders!A67</f>
        <v>ORD-10066</v>
      </c>
      <c r="B67" t="str">
        <f>Orders!E67</f>
        <v>AMER</v>
      </c>
      <c r="C67" t="str">
        <f>Orders!F67</f>
        <v>EUR</v>
      </c>
      <c r="D67" s="3">
        <f>Orders!D67*VLOOKUP(Orders!C67,Pricebook!$A$2:$B$48,2,FALSE)</f>
        <v>58000.0</v>
      </c>
      <c r="E67" s="4">
        <f>SUMIFS(FX!$C$2:$C$277,FX!$A$2:$A$277,Summary!$B$2,FX!$B$2:$B$277,C67)</f>
        <v>1.0934</v>
      </c>
      <c r="F67" s="3">
        <f>ROUND(D67*E67,2)</f>
        <v>63417.2</v>
      </c>
    </row>
    <row r="68" spans="1:6">
      <c r="A68" t="str">
        <f>Orders!A68</f>
        <v>ORD-10067</v>
      </c>
      <c r="B68" t="str">
        <f>Orders!E68</f>
        <v>AMER</v>
      </c>
      <c r="C68" t="str">
        <f>Orders!F68</f>
        <v>EUR</v>
      </c>
      <c r="D68" s="3">
        <f>Orders!D68*VLOOKUP(Orders!C68,Pricebook!$A$2:$B$48,2,FALSE)</f>
        <v>21120.0</v>
      </c>
      <c r="E68" s="4">
        <f>SUMIFS(FX!$C$2:$C$277,FX!$A$2:$A$277,Summary!$B$2,FX!$B$2:$B$277,C68)</f>
        <v>1.0934</v>
      </c>
      <c r="F68" s="3">
        <f>ROUND(D68*E68,2)</f>
        <v>23092.61</v>
      </c>
    </row>
    <row r="69" spans="1:6">
      <c r="A69" t="str">
        <f>Orders!A69</f>
        <v>ORD-10068</v>
      </c>
      <c r="B69" t="str">
        <f>Orders!E69</f>
        <v>AMER</v>
      </c>
      <c r="C69" t="str">
        <f>Orders!F69</f>
        <v>USD</v>
      </c>
      <c r="D69" s="3">
        <f>Orders!D69*VLOOKUP(Orders!C69,Pricebook!$A$2:$B$48,2,FALSE)</f>
        <v>20580.0</v>
      </c>
      <c r="E69" s="4">
        <f>SUMIFS(FX!$C$2:$C$277,FX!$A$2:$A$277,Summary!$B$2,FX!$B$2:$B$277,C69)</f>
        <v>1.0</v>
      </c>
      <c r="F69" s="3">
        <f>ROUND(D69*E69,2)</f>
        <v>20580.0</v>
      </c>
    </row>
    <row r="70" spans="1:6">
      <c r="A70" t="str">
        <f>Orders!A70</f>
        <v>ORD-10069</v>
      </c>
      <c r="B70" t="str">
        <f>Orders!E70</f>
        <v>AMER</v>
      </c>
      <c r="C70" t="str">
        <f>Orders!F70</f>
        <v>USD</v>
      </c>
      <c r="D70" s="3">
        <f>Orders!D70*VLOOKUP(Orders!C70,Pricebook!$A$2:$B$48,2,FALSE)</f>
        <v>49500.0</v>
      </c>
      <c r="E70" s="4">
        <f>SUMIFS(FX!$C$2:$C$277,FX!$A$2:$A$277,Summary!$B$2,FX!$B$2:$B$277,C70)</f>
        <v>1.0</v>
      </c>
      <c r="F70" s="3">
        <f>ROUND(D70*E70,2)</f>
        <v>49500.0</v>
      </c>
    </row>
    <row r="71" spans="1:6">
      <c r="A71" t="str">
        <f>Orders!A71</f>
        <v>ORD-10070</v>
      </c>
      <c r="B71" t="str">
        <f>Orders!E71</f>
        <v>AMER</v>
      </c>
      <c r="C71" t="str">
        <f>Orders!F71</f>
        <v>EUR</v>
      </c>
      <c r="D71" s="3">
        <f>Orders!D71*VLOOKUP(Orders!C71,Pricebook!$A$2:$B$48,2,FALSE)</f>
        <v>37120.0</v>
      </c>
      <c r="E71" s="4">
        <f>SUMIFS(FX!$C$2:$C$277,FX!$A$2:$A$277,Summary!$B$2,FX!$B$2:$B$277,C71)</f>
        <v>1.0934</v>
      </c>
      <c r="F71" s="3">
        <f>ROUND(D71*E71,2)</f>
        <v>40587.01</v>
      </c>
    </row>
    <row r="72" spans="1:6">
      <c r="A72" t="str">
        <f>Orders!A72</f>
        <v>ORD-10071</v>
      </c>
      <c r="B72" t="str">
        <f>Orders!E72</f>
        <v>AMER</v>
      </c>
      <c r="C72" t="str">
        <f>Orders!F72</f>
        <v>USD</v>
      </c>
      <c r="D72" s="3">
        <f>Orders!D72*VLOOKUP(Orders!C72,Pricebook!$A$2:$B$48,2,FALSE)</f>
        <v>5760.0</v>
      </c>
      <c r="E72" s="4">
        <f>SUMIFS(FX!$C$2:$C$277,FX!$A$2:$A$277,Summary!$B$2,FX!$B$2:$B$277,C72)</f>
        <v>1.0</v>
      </c>
      <c r="F72" s="3">
        <f>ROUND(D72*E72,2)</f>
        <v>5760.0</v>
      </c>
    </row>
    <row r="73" spans="1:6">
      <c r="A73" t="str">
        <f>Orders!A73</f>
        <v>ORD-10072</v>
      </c>
      <c r="B73" t="str">
        <f>Orders!E73</f>
        <v>AMER</v>
      </c>
      <c r="C73" t="str">
        <f>Orders!F73</f>
        <v>USD</v>
      </c>
      <c r="D73" s="3">
        <f>Orders!D73*VLOOKUP(Orders!C73,Pricebook!$A$2:$B$48,2,FALSE)</f>
        <v>31680.0</v>
      </c>
      <c r="E73" s="4">
        <f>SUMIFS(FX!$C$2:$C$277,FX!$A$2:$A$277,Summary!$B$2,FX!$B$2:$B$277,C73)</f>
        <v>1.0</v>
      </c>
      <c r="F73" s="3">
        <f>ROUND(D73*E73,2)</f>
        <v>31680.0</v>
      </c>
    </row>
    <row r="74" spans="1:6">
      <c r="A74" t="str">
        <f>Orders!A74</f>
        <v>ORD-10073</v>
      </c>
      <c r="B74" t="str">
        <f>Orders!E74</f>
        <v>AMER</v>
      </c>
      <c r="C74" t="str">
        <f>Orders!F74</f>
        <v>EUR</v>
      </c>
      <c r="D74" s="3">
        <f>Orders!D74*VLOOKUP(Orders!C74,Pricebook!$A$2:$B$48,2,FALSE)</f>
        <v>21280.0</v>
      </c>
      <c r="E74" s="4">
        <f>SUMIFS(FX!$C$2:$C$277,FX!$A$2:$A$277,Summary!$B$2,FX!$B$2:$B$277,C74)</f>
        <v>1.0934</v>
      </c>
      <c r="F74" s="3">
        <f>ROUND(D74*E74,2)</f>
        <v>23267.55</v>
      </c>
    </row>
    <row r="75" spans="1:6">
      <c r="A75" t="str">
        <f>Orders!A75</f>
        <v>ORD-10074</v>
      </c>
      <c r="B75" t="str">
        <f>Orders!E75</f>
        <v>AMER</v>
      </c>
      <c r="C75" t="str">
        <f>Orders!F75</f>
        <v>USD</v>
      </c>
      <c r="D75" s="3">
        <f>Orders!D75*VLOOKUP(Orders!C75,Pricebook!$A$2:$B$48,2,FALSE)</f>
        <v>36960.0</v>
      </c>
      <c r="E75" s="4">
        <f>SUMIFS(FX!$C$2:$C$277,FX!$A$2:$A$277,Summary!$B$2,FX!$B$2:$B$277,C75)</f>
        <v>1.0</v>
      </c>
      <c r="F75" s="3">
        <f>ROUND(D75*E75,2)</f>
        <v>36960.0</v>
      </c>
    </row>
    <row r="76" spans="1:6">
      <c r="A76" t="str">
        <f>Orders!A76</f>
        <v>ORD-10075</v>
      </c>
      <c r="B76" t="str">
        <f>Orders!E76</f>
        <v>AMER</v>
      </c>
      <c r="C76" t="str">
        <f>Orders!F76</f>
        <v>USD</v>
      </c>
      <c r="D76" s="3">
        <f>Orders!D76*VLOOKUP(Orders!C76,Pricebook!$A$2:$B$48,2,FALSE)</f>
        <v>36000.0</v>
      </c>
      <c r="E76" s="4">
        <f>SUMIFS(FX!$C$2:$C$277,FX!$A$2:$A$277,Summary!$B$2,FX!$B$2:$B$277,C76)</f>
        <v>1.0</v>
      </c>
      <c r="F76" s="3">
        <f>ROUND(D76*E76,2)</f>
        <v>36000.0</v>
      </c>
    </row>
    <row r="77" spans="1:6">
      <c r="A77" t="str">
        <f>Orders!A77</f>
        <v>ORD-10076</v>
      </c>
      <c r="B77" t="str">
        <f>Orders!E77</f>
        <v>AMER</v>
      </c>
      <c r="C77" t="str">
        <f>Orders!F77</f>
        <v>USD</v>
      </c>
      <c r="D77" s="3">
        <f>Orders!D77*VLOOKUP(Orders!C77,Pricebook!$A$2:$B$48,2,FALSE)</f>
        <v>30240.0</v>
      </c>
      <c r="E77" s="4">
        <f>SUMIFS(FX!$C$2:$C$277,FX!$A$2:$A$277,Summary!$B$2,FX!$B$2:$B$277,C77)</f>
        <v>1.0</v>
      </c>
      <c r="F77" s="3">
        <f>ROUND(D77*E77,2)</f>
        <v>30240.0</v>
      </c>
    </row>
    <row r="78" spans="1:6">
      <c r="A78" t="str">
        <f>Orders!A78</f>
        <v>ORD-10077</v>
      </c>
      <c r="B78" t="str">
        <f>Orders!E78</f>
        <v>AMER</v>
      </c>
      <c r="C78" t="str">
        <f>Orders!F78</f>
        <v>USD</v>
      </c>
      <c r="D78" s="3">
        <f>Orders!D78*VLOOKUP(Orders!C78,Pricebook!$A$2:$B$48,2,FALSE)</f>
        <v>10800.0</v>
      </c>
      <c r="E78" s="4">
        <f>SUMIFS(FX!$C$2:$C$277,FX!$A$2:$A$277,Summary!$B$2,FX!$B$2:$B$277,C78)</f>
        <v>1.0</v>
      </c>
      <c r="F78" s="3">
        <f>ROUND(D78*E78,2)</f>
        <v>10800.0</v>
      </c>
    </row>
    <row r="79" spans="1:6">
      <c r="A79" t="str">
        <f>Orders!A79</f>
        <v>ORD-10078</v>
      </c>
      <c r="B79" t="str">
        <f>Orders!E79</f>
        <v>AMER</v>
      </c>
      <c r="C79" t="str">
        <f>Orders!F79</f>
        <v>USD</v>
      </c>
      <c r="D79" s="3">
        <f>Orders!D79*VLOOKUP(Orders!C79,Pricebook!$A$2:$B$48,2,FALSE)</f>
        <v>33600.0</v>
      </c>
      <c r="E79" s="4">
        <f>SUMIFS(FX!$C$2:$C$277,FX!$A$2:$A$277,Summary!$B$2,FX!$B$2:$B$277,C79)</f>
        <v>1.0</v>
      </c>
      <c r="F79" s="3">
        <f>ROUND(D79*E79,2)</f>
        <v>33600.0</v>
      </c>
    </row>
    <row r="80" spans="1:6">
      <c r="A80" t="str">
        <f>Orders!A80</f>
        <v>ORD-10079</v>
      </c>
      <c r="B80" t="str">
        <f>Orders!E80</f>
        <v>AMER</v>
      </c>
      <c r="C80" t="str">
        <f>Orders!F80</f>
        <v>EUR</v>
      </c>
      <c r="D80" s="3">
        <f>Orders!D80*VLOOKUP(Orders!C80,Pricebook!$A$2:$B$48,2,FALSE)</f>
        <v>29260.0</v>
      </c>
      <c r="E80" s="4">
        <f>SUMIFS(FX!$C$2:$C$277,FX!$A$2:$A$277,Summary!$B$2,FX!$B$2:$B$277,C80)</f>
        <v>1.0934</v>
      </c>
      <c r="F80" s="3">
        <f>ROUND(D80*E80,2)</f>
        <v>31992.88</v>
      </c>
    </row>
    <row r="81" spans="1:6">
      <c r="A81" t="str">
        <f>Orders!A81</f>
        <v>ORD-10080</v>
      </c>
      <c r="B81" t="str">
        <f>Orders!E81</f>
        <v>AMER</v>
      </c>
      <c r="C81" t="str">
        <f>Orders!F81</f>
        <v>USD</v>
      </c>
      <c r="D81" s="3">
        <f>Orders!D81*VLOOKUP(Orders!C81,Pricebook!$A$2:$B$48,2,FALSE)</f>
        <v>41250.0</v>
      </c>
      <c r="E81" s="4">
        <f>SUMIFS(FX!$C$2:$C$277,FX!$A$2:$A$277,Summary!$B$2,FX!$B$2:$B$277,C81)</f>
        <v>1.0</v>
      </c>
      <c r="F81" s="3">
        <f>ROUND(D81*E81,2)</f>
        <v>41250.0</v>
      </c>
    </row>
    <row r="82" spans="1:6">
      <c r="A82" t="str">
        <f>Orders!A82</f>
        <v>ORD-10081</v>
      </c>
      <c r="B82" t="str">
        <f>Orders!E82</f>
        <v>AMER</v>
      </c>
      <c r="C82" t="str">
        <f>Orders!F82</f>
        <v>USD</v>
      </c>
      <c r="D82" s="3">
        <f>Orders!D82*VLOOKUP(Orders!C82,Pricebook!$A$2:$B$48,2,FALSE)</f>
        <v>46800.0</v>
      </c>
      <c r="E82" s="4">
        <f>SUMIFS(FX!$C$2:$C$277,FX!$A$2:$A$277,Summary!$B$2,FX!$B$2:$B$277,C82)</f>
        <v>1.0</v>
      </c>
      <c r="F82" s="3">
        <f>ROUND(D82*E82,2)</f>
        <v>46800.0</v>
      </c>
    </row>
    <row r="83" spans="1:6">
      <c r="A83" t="str">
        <f>Orders!A83</f>
        <v>ORD-10082</v>
      </c>
      <c r="B83" t="str">
        <f>Orders!E83</f>
        <v>AMER</v>
      </c>
      <c r="C83" t="str">
        <f>Orders!F83</f>
        <v>USD</v>
      </c>
      <c r="D83" s="3">
        <f>Orders!D83*VLOOKUP(Orders!C83,Pricebook!$A$2:$B$48,2,FALSE)</f>
        <v>27550.0</v>
      </c>
      <c r="E83" s="4">
        <f>SUMIFS(FX!$C$2:$C$277,FX!$A$2:$A$277,Summary!$B$2,FX!$B$2:$B$277,C83)</f>
        <v>1.0</v>
      </c>
      <c r="F83" s="3">
        <f>ROUND(D83*E83,2)</f>
        <v>27550.0</v>
      </c>
    </row>
    <row r="84" spans="1:6">
      <c r="A84" t="str">
        <f>Orders!A84</f>
        <v>ORD-10083</v>
      </c>
      <c r="B84" t="str">
        <f>Orders!E84</f>
        <v>AMER</v>
      </c>
      <c r="C84" t="str">
        <f>Orders!F84</f>
        <v>USD</v>
      </c>
      <c r="D84" s="3">
        <f>Orders!D84*VLOOKUP(Orders!C84,Pricebook!$A$2:$B$48,2,FALSE)</f>
        <v>13700.0</v>
      </c>
      <c r="E84" s="4">
        <f>SUMIFS(FX!$C$2:$C$277,FX!$A$2:$A$277,Summary!$B$2,FX!$B$2:$B$277,C84)</f>
        <v>1.0</v>
      </c>
      <c r="F84" s="3">
        <f>ROUND(D84*E84,2)</f>
        <v>13700.0</v>
      </c>
    </row>
    <row r="85" spans="1:6">
      <c r="A85" t="str">
        <f>Orders!A85</f>
        <v>ORD-10084</v>
      </c>
      <c r="B85" t="str">
        <f>Orders!E85</f>
        <v>AMER</v>
      </c>
      <c r="C85" t="str">
        <f>Orders!F85</f>
        <v>EUR</v>
      </c>
      <c r="D85" s="3">
        <f>Orders!D85*VLOOKUP(Orders!C85,Pricebook!$A$2:$B$48,2,FALSE)</f>
        <v>5320.0</v>
      </c>
      <c r="E85" s="4">
        <f>SUMIFS(FX!$C$2:$C$277,FX!$A$2:$A$277,Summary!$B$2,FX!$B$2:$B$277,C85)</f>
        <v>1.0934</v>
      </c>
      <c r="F85" s="3">
        <f>ROUND(D85*E85,2)</f>
        <v>5816.89</v>
      </c>
    </row>
    <row r="86" spans="1:6">
      <c r="A86" t="str">
        <f>Orders!A86</f>
        <v>ORD-10085</v>
      </c>
      <c r="B86" t="str">
        <f>Orders!E86</f>
        <v>AMER</v>
      </c>
      <c r="C86" t="str">
        <f>Orders!F86</f>
        <v>EUR</v>
      </c>
      <c r="D86" s="3">
        <f>Orders!D86*VLOOKUP(Orders!C86,Pricebook!$A$2:$B$48,2,FALSE)</f>
        <v>13320.0</v>
      </c>
      <c r="E86" s="4">
        <f>SUMIFS(FX!$C$2:$C$277,FX!$A$2:$A$277,Summary!$B$2,FX!$B$2:$B$277,C86)</f>
        <v>1.0934</v>
      </c>
      <c r="F86" s="3">
        <f>ROUND(D86*E86,2)</f>
        <v>14564.09</v>
      </c>
    </row>
    <row r="87" spans="1:6">
      <c r="A87" t="str">
        <f>Orders!A87</f>
        <v>ORD-10086</v>
      </c>
      <c r="B87" t="str">
        <f>Orders!E87</f>
        <v>AMER</v>
      </c>
      <c r="C87" t="str">
        <f>Orders!F87</f>
        <v>USD</v>
      </c>
      <c r="D87" s="3">
        <f>Orders!D87*VLOOKUP(Orders!C87,Pricebook!$A$2:$B$48,2,FALSE)</f>
        <v>14000.0</v>
      </c>
      <c r="E87" s="4">
        <f>SUMIFS(FX!$C$2:$C$277,FX!$A$2:$A$277,Summary!$B$2,FX!$B$2:$B$277,C87)</f>
        <v>1.0</v>
      </c>
      <c r="F87" s="3">
        <f>ROUND(D87*E87,2)</f>
        <v>14000.0</v>
      </c>
    </row>
    <row r="88" spans="1:6">
      <c r="A88" t="str">
        <f>Orders!A88</f>
        <v>ORD-10087</v>
      </c>
      <c r="B88" t="str">
        <f>Orders!E88</f>
        <v>AMER</v>
      </c>
      <c r="C88" t="str">
        <f>Orders!F88</f>
        <v>USD</v>
      </c>
      <c r="D88" s="3">
        <f>Orders!D88*VLOOKUP(Orders!C88,Pricebook!$A$2:$B$48,2,FALSE)</f>
        <v>31360.0</v>
      </c>
      <c r="E88" s="4">
        <f>SUMIFS(FX!$C$2:$C$277,FX!$A$2:$A$277,Summary!$B$2,FX!$B$2:$B$277,C88)</f>
        <v>1.0</v>
      </c>
      <c r="F88" s="3">
        <f>ROUND(D88*E88,2)</f>
        <v>31360.0</v>
      </c>
    </row>
    <row r="89" spans="1:6">
      <c r="A89" t="str">
        <f>Orders!A89</f>
        <v>ORD-10088</v>
      </c>
      <c r="B89" t="str">
        <f>Orders!E89</f>
        <v>AMER</v>
      </c>
      <c r="C89" t="str">
        <f>Orders!F89</f>
        <v>EUR</v>
      </c>
      <c r="D89" s="3">
        <f>Orders!D89*VLOOKUP(Orders!C89,Pricebook!$A$2:$B$48,2,FALSE)</f>
        <v>29040.0</v>
      </c>
      <c r="E89" s="4">
        <f>SUMIFS(FX!$C$2:$C$277,FX!$A$2:$A$277,Summary!$B$2,FX!$B$2:$B$277,C89)</f>
        <v>1.0934</v>
      </c>
      <c r="F89" s="3">
        <f>ROUND(D89*E89,2)</f>
        <v>31752.34</v>
      </c>
    </row>
    <row r="90" spans="1:6">
      <c r="A90" t="str">
        <f>Orders!A90</f>
        <v>ORD-10089</v>
      </c>
      <c r="B90" t="str">
        <f>Orders!E90</f>
        <v>AMER</v>
      </c>
      <c r="C90" t="str">
        <f>Orders!F90</f>
        <v>EUR</v>
      </c>
      <c r="D90" s="3">
        <f>Orders!D90*VLOOKUP(Orders!C90,Pricebook!$A$2:$B$48,2,FALSE)</f>
        <v>53360.0</v>
      </c>
      <c r="E90" s="4">
        <f>SUMIFS(FX!$C$2:$C$277,FX!$A$2:$A$277,Summary!$B$2,FX!$B$2:$B$277,C90)</f>
        <v>1.0934</v>
      </c>
      <c r="F90" s="3">
        <f>ROUND(D90*E90,2)</f>
        <v>58343.82</v>
      </c>
    </row>
    <row r="91" spans="1:6">
      <c r="A91" t="str">
        <f>Orders!A91</f>
        <v>ORD-10090</v>
      </c>
      <c r="B91" t="str">
        <f>Orders!E91</f>
        <v>AMER</v>
      </c>
      <c r="C91" t="str">
        <f>Orders!F91</f>
        <v>EUR</v>
      </c>
      <c r="D91" s="3">
        <f>Orders!D91*VLOOKUP(Orders!C91,Pricebook!$A$2:$B$48,2,FALSE)</f>
        <v>22600.0</v>
      </c>
      <c r="E91" s="4">
        <f>SUMIFS(FX!$C$2:$C$277,FX!$A$2:$A$277,Summary!$B$2,FX!$B$2:$B$277,C91)</f>
        <v>1.0934</v>
      </c>
      <c r="F91" s="3">
        <f>ROUND(D91*E91,2)</f>
        <v>24710.84</v>
      </c>
    </row>
    <row r="92" spans="1:6">
      <c r="A92" t="str">
        <f>Orders!A92</f>
        <v>ORD-10091</v>
      </c>
      <c r="B92" t="str">
        <f>Orders!E92</f>
        <v>AMER</v>
      </c>
      <c r="C92" t="str">
        <f>Orders!F92</f>
        <v>EUR</v>
      </c>
      <c r="D92" s="3">
        <f>Orders!D92*VLOOKUP(Orders!C92,Pricebook!$A$2:$B$48,2,FALSE)</f>
        <v>34320.0</v>
      </c>
      <c r="E92" s="4">
        <f>SUMIFS(FX!$C$2:$C$277,FX!$A$2:$A$277,Summary!$B$2,FX!$B$2:$B$277,C92)</f>
        <v>1.0934</v>
      </c>
      <c r="F92" s="3">
        <f>ROUND(D92*E92,2)</f>
        <v>37525.49</v>
      </c>
    </row>
    <row r="93" spans="1:6">
      <c r="A93" t="str">
        <f>Orders!A93</f>
        <v>ORD-10092</v>
      </c>
      <c r="B93" t="str">
        <f>Orders!E93</f>
        <v>AMER</v>
      </c>
      <c r="C93" t="str">
        <f>Orders!F93</f>
        <v>USD</v>
      </c>
      <c r="D93" s="3">
        <f>Orders!D93*VLOOKUP(Orders!C93,Pricebook!$A$2:$B$48,2,FALSE)</f>
        <v>26800.0</v>
      </c>
      <c r="E93" s="4">
        <f>SUMIFS(FX!$C$2:$C$277,FX!$A$2:$A$277,Summary!$B$2,FX!$B$2:$B$277,C93)</f>
        <v>1.0</v>
      </c>
      <c r="F93" s="3">
        <f>ROUND(D93*E93,2)</f>
        <v>26800.0</v>
      </c>
    </row>
    <row r="94" spans="1:6">
      <c r="A94" t="str">
        <f>Orders!A94</f>
        <v>ORD-10093</v>
      </c>
      <c r="B94" t="str">
        <f>Orders!E94</f>
        <v>AMER</v>
      </c>
      <c r="C94" t="str">
        <f>Orders!F94</f>
        <v>EUR</v>
      </c>
      <c r="D94" s="3">
        <f>Orders!D94*VLOOKUP(Orders!C94,Pricebook!$A$2:$B$48,2,FALSE)</f>
        <v>48720.0</v>
      </c>
      <c r="E94" s="4">
        <f>SUMIFS(FX!$C$2:$C$277,FX!$A$2:$A$277,Summary!$B$2,FX!$B$2:$B$277,C94)</f>
        <v>1.0934</v>
      </c>
      <c r="F94" s="3">
        <f>ROUND(D94*E94,2)</f>
        <v>53270.45</v>
      </c>
    </row>
    <row r="95" spans="1:6">
      <c r="A95" t="str">
        <f>Orders!A95</f>
        <v>ORD-10094</v>
      </c>
      <c r="B95" t="str">
        <f>Orders!E95</f>
        <v>AMER</v>
      </c>
      <c r="C95" t="str">
        <f>Orders!F95</f>
        <v>USD</v>
      </c>
      <c r="D95" s="3">
        <f>Orders!D95*VLOOKUP(Orders!C95,Pricebook!$A$2:$B$48,2,FALSE)</f>
        <v>21120.0</v>
      </c>
      <c r="E95" s="4">
        <f>SUMIFS(FX!$C$2:$C$277,FX!$A$2:$A$277,Summary!$B$2,FX!$B$2:$B$277,C95)</f>
        <v>1.0</v>
      </c>
      <c r="F95" s="3">
        <f>ROUND(D95*E95,2)</f>
        <v>21120.0</v>
      </c>
    </row>
    <row r="96" spans="1:6">
      <c r="A96" t="str">
        <f>Orders!A96</f>
        <v>ORD-10095</v>
      </c>
      <c r="B96" t="str">
        <f>Orders!E96</f>
        <v>AMER</v>
      </c>
      <c r="C96" t="str">
        <f>Orders!F96</f>
        <v>GBP</v>
      </c>
      <c r="D96" s="3">
        <f>Orders!D96*VLOOKUP(Orders!C96,Pricebook!$A$2:$B$48,2,FALSE)</f>
        <v>33840.0</v>
      </c>
      <c r="E96" s="4">
        <f>SUMIFS(FX!$C$2:$C$277,FX!$A$2:$A$277,Summary!$B$2,FX!$B$2:$B$277,C96)</f>
        <v>1.2657</v>
      </c>
      <c r="F96" s="3">
        <f>ROUND(D96*E96,2)</f>
        <v>42831.29</v>
      </c>
    </row>
    <row r="97" spans="1:6">
      <c r="A97" t="str">
        <f>Orders!A97</f>
        <v>ORD-10096</v>
      </c>
      <c r="B97" t="str">
        <f>Orders!E97</f>
        <v>AMER</v>
      </c>
      <c r="C97" t="str">
        <f>Orders!F97</f>
        <v>USD</v>
      </c>
      <c r="D97" s="3">
        <f>Orders!D97*VLOOKUP(Orders!C97,Pricebook!$A$2:$B$48,2,FALSE)</f>
        <v>4950.0</v>
      </c>
      <c r="E97" s="4">
        <f>SUMIFS(FX!$C$2:$C$277,FX!$A$2:$A$277,Summary!$B$2,FX!$B$2:$B$277,C97)</f>
        <v>1.0</v>
      </c>
      <c r="F97" s="3">
        <f>ROUND(D97*E97,2)</f>
        <v>4950.0</v>
      </c>
    </row>
    <row r="98" spans="1:6">
      <c r="A98" t="str">
        <f>Orders!A98</f>
        <v>ORD-10097</v>
      </c>
      <c r="B98" t="str">
        <f>Orders!E98</f>
        <v>AMER</v>
      </c>
      <c r="C98" t="str">
        <f>Orders!F98</f>
        <v>USD</v>
      </c>
      <c r="D98" s="3">
        <f>Orders!D98*VLOOKUP(Orders!C98,Pricebook!$A$2:$B$48,2,FALSE)</f>
        <v>16240.0</v>
      </c>
      <c r="E98" s="4">
        <f>SUMIFS(FX!$C$2:$C$277,FX!$A$2:$A$277,Summary!$B$2,FX!$B$2:$B$277,C98)</f>
        <v>1.0</v>
      </c>
      <c r="F98" s="3">
        <f>ROUND(D98*E98,2)</f>
        <v>16240.0</v>
      </c>
    </row>
    <row r="99" spans="1:6">
      <c r="A99" t="str">
        <f>Orders!A99</f>
        <v>ORD-10098</v>
      </c>
      <c r="B99" t="str">
        <f>Orders!E99</f>
        <v>AMER</v>
      </c>
      <c r="C99" t="str">
        <f>Orders!F99</f>
        <v>USD</v>
      </c>
      <c r="D99" s="3">
        <f>Orders!D99*VLOOKUP(Orders!C99,Pricebook!$A$2:$B$48,2,FALSE)</f>
        <v>28900.0</v>
      </c>
      <c r="E99" s="4">
        <f>SUMIFS(FX!$C$2:$C$277,FX!$A$2:$A$277,Summary!$B$2,FX!$B$2:$B$277,C99)</f>
        <v>1.0</v>
      </c>
      <c r="F99" s="3">
        <f>ROUND(D99*E99,2)</f>
        <v>28900.0</v>
      </c>
    </row>
    <row r="100" spans="1:6">
      <c r="A100" t="str">
        <f>Orders!A100</f>
        <v>ORD-10099</v>
      </c>
      <c r="B100" t="str">
        <f>Orders!E100</f>
        <v>EMEA</v>
      </c>
      <c r="C100" t="str">
        <f>Orders!F100</f>
        <v>USD</v>
      </c>
      <c r="D100" s="3">
        <f>Orders!D100*VLOOKUP(Orders!C100,Pricebook!$A$2:$B$48,2,FALSE)</f>
        <v>7740.0</v>
      </c>
      <c r="E100" s="4">
        <f>SUMIFS(FX!$C$2:$C$277,FX!$A$2:$A$277,Summary!$B$2,FX!$B$2:$B$277,C100)</f>
        <v>1.0</v>
      </c>
      <c r="F100" s="3">
        <f>ROUND(D100*E100,2)</f>
        <v>7740.0</v>
      </c>
    </row>
    <row r="101" spans="1:6">
      <c r="A101" t="str">
        <f>Orders!A101</f>
        <v>ORD-10100</v>
      </c>
      <c r="B101" t="str">
        <f>Orders!E101</f>
        <v>EMEA</v>
      </c>
      <c r="C101" t="str">
        <f>Orders!F101</f>
        <v>USD</v>
      </c>
      <c r="D101" s="3">
        <f>Orders!D101*VLOOKUP(Orders!C101,Pricebook!$A$2:$B$48,2,FALSE)</f>
        <v>20700.0</v>
      </c>
      <c r="E101" s="4">
        <f>SUMIFS(FX!$C$2:$C$277,FX!$A$2:$A$277,Summary!$B$2,FX!$B$2:$B$277,C101)</f>
        <v>1.0</v>
      </c>
      <c r="F101" s="3">
        <f>ROUND(D101*E101,2)</f>
        <v>20700.0</v>
      </c>
    </row>
    <row r="102" spans="1:6">
      <c r="A102" t="str">
        <f>Orders!A102</f>
        <v>ORD-10101</v>
      </c>
      <c r="B102" t="str">
        <f>Orders!E102</f>
        <v>EMEA</v>
      </c>
      <c r="C102" t="str">
        <f>Orders!F102</f>
        <v>EUR</v>
      </c>
      <c r="D102" s="3">
        <f>Orders!D102*VLOOKUP(Orders!C102,Pricebook!$A$2:$B$48,2,FALSE)</f>
        <v>33000.0</v>
      </c>
      <c r="E102" s="4">
        <f>SUMIFS(FX!$C$2:$C$277,FX!$A$2:$A$277,Summary!$B$2,FX!$B$2:$B$277,C102)</f>
        <v>1.0934</v>
      </c>
      <c r="F102" s="3">
        <f>ROUND(D102*E102,2)</f>
        <v>36082.2</v>
      </c>
    </row>
    <row r="103" spans="1:6">
      <c r="A103" t="str">
        <f>Orders!A103</f>
        <v>ORD-10102</v>
      </c>
      <c r="B103" t="str">
        <f>Orders!E103</f>
        <v>EMEA</v>
      </c>
      <c r="C103" t="str">
        <f>Orders!F103</f>
        <v>EUR</v>
      </c>
      <c r="D103" s="3">
        <f>Orders!D103*VLOOKUP(Orders!C103,Pricebook!$A$2:$B$48,2,FALSE)</f>
        <v>3780.0</v>
      </c>
      <c r="E103" s="4">
        <f>SUMIFS(FX!$C$2:$C$277,FX!$A$2:$A$277,Summary!$B$2,FX!$B$2:$B$277,C103)</f>
        <v>1.0934</v>
      </c>
      <c r="F103" s="3">
        <f>ROUND(D103*E103,2)</f>
        <v>4133.05</v>
      </c>
    </row>
    <row r="104" spans="1:6">
      <c r="A104" t="str">
        <f>Orders!A104</f>
        <v>ORD-10103</v>
      </c>
      <c r="B104" t="str">
        <f>Orders!E104</f>
        <v>EMEA</v>
      </c>
      <c r="C104" t="str">
        <f>Orders!F104</f>
        <v>USD</v>
      </c>
      <c r="D104" s="3">
        <f>Orders!D104*VLOOKUP(Orders!C104,Pricebook!$A$2:$B$48,2,FALSE)</f>
        <v>33350.0</v>
      </c>
      <c r="E104" s="4">
        <f>SUMIFS(FX!$C$2:$C$277,FX!$A$2:$A$277,Summary!$B$2,FX!$B$2:$B$277,C104)</f>
        <v>1.0</v>
      </c>
      <c r="F104" s="3">
        <f>ROUND(D104*E104,2)</f>
        <v>33350.0</v>
      </c>
    </row>
    <row r="105" spans="1:6">
      <c r="A105" t="str">
        <f>Orders!A105</f>
        <v>ORD-10104</v>
      </c>
      <c r="B105" t="str">
        <f>Orders!E105</f>
        <v>EMEA</v>
      </c>
      <c r="C105" t="str">
        <f>Orders!F105</f>
        <v>EUR</v>
      </c>
      <c r="D105" s="3">
        <f>Orders!D105*VLOOKUP(Orders!C105,Pricebook!$A$2:$B$48,2,FALSE)</f>
        <v>17400.0</v>
      </c>
      <c r="E105" s="4">
        <f>SUMIFS(FX!$C$2:$C$277,FX!$A$2:$A$277,Summary!$B$2,FX!$B$2:$B$277,C105)</f>
        <v>1.0934</v>
      </c>
      <c r="F105" s="3">
        <f>ROUND(D105*E105,2)</f>
        <v>19025.16</v>
      </c>
    </row>
    <row r="106" spans="1:6">
      <c r="A106" t="str">
        <f>Orders!A106</f>
        <v>ORD-10105</v>
      </c>
      <c r="B106" t="str">
        <f>Orders!E106</f>
        <v>EMEA</v>
      </c>
      <c r="C106" t="str">
        <f>Orders!F106</f>
        <v>USD</v>
      </c>
      <c r="D106" s="3">
        <f>Orders!D106*VLOOKUP(Orders!C106,Pricebook!$A$2:$B$48,2,FALSE)</f>
        <v>33440.0</v>
      </c>
      <c r="E106" s="4">
        <f>SUMIFS(FX!$C$2:$C$277,FX!$A$2:$A$277,Summary!$B$2,FX!$B$2:$B$277,C106)</f>
        <v>1.0</v>
      </c>
      <c r="F106" s="3">
        <f>ROUND(D106*E106,2)</f>
        <v>33440.0</v>
      </c>
    </row>
    <row r="107" spans="1:6">
      <c r="A107" t="str">
        <f>Orders!A107</f>
        <v>ORD-10106</v>
      </c>
      <c r="B107" t="str">
        <f>Orders!E107</f>
        <v>EMEA</v>
      </c>
      <c r="C107" t="str">
        <f>Orders!F107</f>
        <v>GBP</v>
      </c>
      <c r="D107" s="3">
        <f>Orders!D107*VLOOKUP(Orders!C107,Pricebook!$A$2:$B$48,2,FALSE)</f>
        <v>11850.0</v>
      </c>
      <c r="E107" s="4">
        <f>SUMIFS(FX!$C$2:$C$277,FX!$A$2:$A$277,Summary!$B$2,FX!$B$2:$B$277,C107)</f>
        <v>1.2657</v>
      </c>
      <c r="F107" s="3">
        <f>ROUND(D107*E107,2)</f>
        <v>14998.55</v>
      </c>
    </row>
    <row r="108" spans="1:6">
      <c r="A108" t="str">
        <f>Orders!A108</f>
        <v>ORD-10107</v>
      </c>
      <c r="B108" t="str">
        <f>Orders!E108</f>
        <v>EMEA</v>
      </c>
      <c r="C108" t="str">
        <f>Orders!F108</f>
        <v>EUR</v>
      </c>
      <c r="D108" s="3">
        <f>Orders!D108*VLOOKUP(Orders!C108,Pricebook!$A$2:$B$48,2,FALSE)</f>
        <v>21840.0</v>
      </c>
      <c r="E108" s="4">
        <f>SUMIFS(FX!$C$2:$C$277,FX!$A$2:$A$277,Summary!$B$2,FX!$B$2:$B$277,C108)</f>
        <v>1.0934</v>
      </c>
      <c r="F108" s="3">
        <f>ROUND(D108*E108,2)</f>
        <v>23879.86</v>
      </c>
    </row>
    <row r="109" spans="1:6">
      <c r="A109" t="str">
        <f>Orders!A109</f>
        <v>ORD-10108</v>
      </c>
      <c r="B109" t="str">
        <f>Orders!E109</f>
        <v>EMEA</v>
      </c>
      <c r="C109" t="str">
        <f>Orders!F109</f>
        <v>USD</v>
      </c>
      <c r="D109" s="3">
        <f>Orders!D109*VLOOKUP(Orders!C109,Pricebook!$A$2:$B$48,2,FALSE)</f>
        <v>37700.0</v>
      </c>
      <c r="E109" s="4">
        <f>SUMIFS(FX!$C$2:$C$277,FX!$A$2:$A$277,Summary!$B$2,FX!$B$2:$B$277,C109)</f>
        <v>1.0</v>
      </c>
      <c r="F109" s="3">
        <f>ROUND(D109*E109,2)</f>
        <v>37700.0</v>
      </c>
    </row>
    <row r="110" spans="1:6">
      <c r="A110" t="str">
        <f>Orders!A110</f>
        <v>ORD-10109</v>
      </c>
      <c r="B110" t="str">
        <f>Orders!E110</f>
        <v>EMEA</v>
      </c>
      <c r="C110" t="str">
        <f>Orders!F110</f>
        <v>EUR</v>
      </c>
      <c r="D110" s="3">
        <f>Orders!D110*VLOOKUP(Orders!C110,Pricebook!$A$2:$B$48,2,FALSE)</f>
        <v>34800.0</v>
      </c>
      <c r="E110" s="4">
        <f>SUMIFS(FX!$C$2:$C$277,FX!$A$2:$A$277,Summary!$B$2,FX!$B$2:$B$277,C110)</f>
        <v>1.0934</v>
      </c>
      <c r="F110" s="3">
        <f>ROUND(D110*E110,2)</f>
        <v>38050.32</v>
      </c>
    </row>
    <row r="111" spans="1:6">
      <c r="A111" t="str">
        <f>Orders!A111</f>
        <v>ORD-10110</v>
      </c>
      <c r="B111" t="str">
        <f>Orders!E111</f>
        <v>EMEA</v>
      </c>
      <c r="C111" t="str">
        <f>Orders!F111</f>
        <v>USD</v>
      </c>
      <c r="D111" s="3">
        <f>Orders!D111*VLOOKUP(Orders!C111,Pricebook!$A$2:$B$48,2,FALSE)</f>
        <v>14000.0</v>
      </c>
      <c r="E111" s="4">
        <f>SUMIFS(FX!$C$2:$C$277,FX!$A$2:$A$277,Summary!$B$2,FX!$B$2:$B$277,C111)</f>
        <v>1.0</v>
      </c>
      <c r="F111" s="3">
        <f>ROUND(D111*E111,2)</f>
        <v>14000.0</v>
      </c>
    </row>
    <row r="112" spans="1:6">
      <c r="A112" t="str">
        <f>Orders!A112</f>
        <v>ORD-10111</v>
      </c>
      <c r="B112" t="str">
        <f>Orders!E112</f>
        <v>EMEA</v>
      </c>
      <c r="C112" t="str">
        <f>Orders!F112</f>
        <v>USD</v>
      </c>
      <c r="D112" s="3">
        <f>Orders!D112*VLOOKUP(Orders!C112,Pricebook!$A$2:$B$48,2,FALSE)</f>
        <v>24480.0</v>
      </c>
      <c r="E112" s="4">
        <f>SUMIFS(FX!$C$2:$C$277,FX!$A$2:$A$277,Summary!$B$2,FX!$B$2:$B$277,C112)</f>
        <v>1.0</v>
      </c>
      <c r="F112" s="3">
        <f>ROUND(D112*E112,2)</f>
        <v>24480.0</v>
      </c>
    </row>
    <row r="113" spans="1:6">
      <c r="A113" t="str">
        <f>Orders!A113</f>
        <v>ORD-10112</v>
      </c>
      <c r="B113" t="str">
        <f>Orders!E113</f>
        <v>EMEA</v>
      </c>
      <c r="C113" t="str">
        <f>Orders!F113</f>
        <v>EUR</v>
      </c>
      <c r="D113" s="3">
        <f>Orders!D113*VLOOKUP(Orders!C113,Pricebook!$A$2:$B$48,2,FALSE)</f>
        <v>13920.0</v>
      </c>
      <c r="E113" s="4">
        <f>SUMIFS(FX!$C$2:$C$277,FX!$A$2:$A$277,Summary!$B$2,FX!$B$2:$B$277,C113)</f>
        <v>1.0934</v>
      </c>
      <c r="F113" s="3">
        <f>ROUND(D113*E113,2)</f>
        <v>15220.13</v>
      </c>
    </row>
    <row r="114" spans="1:6">
      <c r="A114" t="str">
        <f>Orders!A114</f>
        <v>ORD-10113</v>
      </c>
      <c r="B114" t="str">
        <f>Orders!E114</f>
        <v>EMEA</v>
      </c>
      <c r="C114" t="str">
        <f>Orders!F114</f>
        <v>EUR</v>
      </c>
      <c r="D114" s="3">
        <f>Orders!D114*VLOOKUP(Orders!C114,Pricebook!$A$2:$B$48,2,FALSE)</f>
        <v>11970.0</v>
      </c>
      <c r="E114" s="4">
        <f>SUMIFS(FX!$C$2:$C$277,FX!$A$2:$A$277,Summary!$B$2,FX!$B$2:$B$277,C114)</f>
        <v>1.0934</v>
      </c>
      <c r="F114" s="3">
        <f>ROUND(D114*E114,2)</f>
        <v>13088.0</v>
      </c>
    </row>
    <row r="115" spans="1:6">
      <c r="A115" t="str">
        <f>Orders!A115</f>
        <v>ORD-10114</v>
      </c>
      <c r="B115" t="str">
        <f>Orders!E115</f>
        <v>EMEA</v>
      </c>
      <c r="C115" t="str">
        <f>Orders!F115</f>
        <v>USD</v>
      </c>
      <c r="D115" s="3">
        <f>Orders!D115*VLOOKUP(Orders!C115,Pricebook!$A$2:$B$48,2,FALSE)</f>
        <v>31680.0</v>
      </c>
      <c r="E115" s="4">
        <f>SUMIFS(FX!$C$2:$C$277,FX!$A$2:$A$277,Summary!$B$2,FX!$B$2:$B$277,C115)</f>
        <v>1.0</v>
      </c>
      <c r="F115" s="3">
        <f>ROUND(D115*E115,2)</f>
        <v>31680.0</v>
      </c>
    </row>
    <row r="116" spans="1:6">
      <c r="A116" t="str">
        <f>Orders!A116</f>
        <v>ORD-10115</v>
      </c>
      <c r="B116" t="str">
        <f>Orders!E116</f>
        <v>EMEA</v>
      </c>
      <c r="C116" t="str">
        <f>Orders!F116</f>
        <v>EUR</v>
      </c>
      <c r="D116" s="3">
        <f>Orders!D116*VLOOKUP(Orders!C116,Pricebook!$A$2:$B$48,2,FALSE)</f>
        <v>5200.0</v>
      </c>
      <c r="E116" s="4">
        <f>SUMIFS(FX!$C$2:$C$277,FX!$A$2:$A$277,Summary!$B$2,FX!$B$2:$B$277,C116)</f>
        <v>1.0934</v>
      </c>
      <c r="F116" s="3">
        <f>ROUND(D116*E116,2)</f>
        <v>5685.68</v>
      </c>
    </row>
    <row r="117" spans="1:6">
      <c r="A117" t="str">
        <f>Orders!A117</f>
        <v>ORD-10116</v>
      </c>
      <c r="B117" t="str">
        <f>Orders!E117</f>
        <v>EMEA</v>
      </c>
      <c r="C117" t="str">
        <f>Orders!F117</f>
        <v>USD</v>
      </c>
      <c r="D117" s="3">
        <f>Orders!D117*VLOOKUP(Orders!C117,Pricebook!$A$2:$B$48,2,FALSE)</f>
        <v>39060.0</v>
      </c>
      <c r="E117" s="4">
        <f>SUMIFS(FX!$C$2:$C$277,FX!$A$2:$A$277,Summary!$B$2,FX!$B$2:$B$277,C117)</f>
        <v>1.0</v>
      </c>
      <c r="F117" s="3">
        <f>ROUND(D117*E117,2)</f>
        <v>39060.0</v>
      </c>
    </row>
    <row r="118" spans="1:6">
      <c r="A118" t="str">
        <f>Orders!A118</f>
        <v>ORD-10117</v>
      </c>
      <c r="B118" t="str">
        <f>Orders!E118</f>
        <v>EMEA</v>
      </c>
      <c r="C118" t="str">
        <f>Orders!F118</f>
        <v>EUR</v>
      </c>
      <c r="D118" s="3">
        <f>Orders!D118*VLOOKUP(Orders!C118,Pricebook!$A$2:$B$48,2,FALSE)</f>
        <v>9240.0</v>
      </c>
      <c r="E118" s="4">
        <f>SUMIFS(FX!$C$2:$C$277,FX!$A$2:$A$277,Summary!$B$2,FX!$B$2:$B$277,C118)</f>
        <v>1.0934</v>
      </c>
      <c r="F118" s="3">
        <f>ROUND(D118*E118,2)</f>
        <v>10103.02</v>
      </c>
    </row>
    <row r="119" spans="1:6">
      <c r="A119" t="str">
        <f>Orders!A119</f>
        <v>ORD-10118</v>
      </c>
      <c r="B119" t="str">
        <f>Orders!E119</f>
        <v>EMEA</v>
      </c>
      <c r="C119" t="str">
        <f>Orders!F119</f>
        <v>USD</v>
      </c>
      <c r="D119" s="3">
        <f>Orders!D119*VLOOKUP(Orders!C119,Pricebook!$A$2:$B$48,2,FALSE)</f>
        <v>20100.0</v>
      </c>
      <c r="E119" s="4">
        <f>SUMIFS(FX!$C$2:$C$277,FX!$A$2:$A$277,Summary!$B$2,FX!$B$2:$B$277,C119)</f>
        <v>1.0</v>
      </c>
      <c r="F119" s="3">
        <f>ROUND(D119*E119,2)</f>
        <v>20100.0</v>
      </c>
    </row>
    <row r="120" spans="1:6">
      <c r="A120" t="str">
        <f>Orders!A120</f>
        <v>ORD-10119</v>
      </c>
      <c r="B120" t="str">
        <f>Orders!E120</f>
        <v>EMEA</v>
      </c>
      <c r="C120" t="str">
        <f>Orders!F120</f>
        <v>USD</v>
      </c>
      <c r="D120" s="3">
        <f>Orders!D120*VLOOKUP(Orders!C120,Pricebook!$A$2:$B$48,2,FALSE)</f>
        <v>7840.0</v>
      </c>
      <c r="E120" s="4">
        <f>SUMIFS(FX!$C$2:$C$277,FX!$A$2:$A$277,Summary!$B$2,FX!$B$2:$B$277,C120)</f>
        <v>1.0</v>
      </c>
      <c r="F120" s="3">
        <f>ROUND(D120*E120,2)</f>
        <v>7840.0</v>
      </c>
    </row>
    <row r="121" spans="1:6">
      <c r="A121" t="str">
        <f>Orders!A121</f>
        <v>ORD-10120</v>
      </c>
      <c r="B121" t="str">
        <f>Orders!E121</f>
        <v>EMEA</v>
      </c>
      <c r="C121" t="str">
        <f>Orders!F121</f>
        <v>GBP</v>
      </c>
      <c r="D121" s="3">
        <f>Orders!D121*VLOOKUP(Orders!C121,Pricebook!$A$2:$B$48,2,FALSE)</f>
        <v>26760.0</v>
      </c>
      <c r="E121" s="4">
        <f>SUMIFS(FX!$C$2:$C$277,FX!$A$2:$A$277,Summary!$B$2,FX!$B$2:$B$277,C121)</f>
        <v>1.2657</v>
      </c>
      <c r="F121" s="3">
        <f>ROUND(D121*E121,2)</f>
        <v>33870.13</v>
      </c>
    </row>
    <row r="122" spans="1:6">
      <c r="A122" t="str">
        <f>Orders!A122</f>
        <v>ORD-10121</v>
      </c>
      <c r="B122" t="str">
        <f>Orders!E122</f>
        <v>EMEA</v>
      </c>
      <c r="C122" t="str">
        <f>Orders!F122</f>
        <v>USD</v>
      </c>
      <c r="D122" s="3">
        <f>Orders!D122*VLOOKUP(Orders!C122,Pricebook!$A$2:$B$48,2,FALSE)</f>
        <v>19600.0</v>
      </c>
      <c r="E122" s="4">
        <f>SUMIFS(FX!$C$2:$C$277,FX!$A$2:$A$277,Summary!$B$2,FX!$B$2:$B$277,C122)</f>
        <v>1.0</v>
      </c>
      <c r="F122" s="3">
        <f>ROUND(D122*E122,2)</f>
        <v>19600.0</v>
      </c>
    </row>
    <row r="123" spans="1:6">
      <c r="A123" t="str">
        <f>Orders!A123</f>
        <v>ORD-10122</v>
      </c>
      <c r="B123" t="str">
        <f>Orders!E123</f>
        <v>EMEA</v>
      </c>
      <c r="C123" t="str">
        <f>Orders!F123</f>
        <v>USD</v>
      </c>
      <c r="D123" s="3">
        <f>Orders!D123*VLOOKUP(Orders!C123,Pricebook!$A$2:$B$48,2,FALSE)</f>
        <v>20700.0</v>
      </c>
      <c r="E123" s="4">
        <f>SUMIFS(FX!$C$2:$C$277,FX!$A$2:$A$277,Summary!$B$2,FX!$B$2:$B$277,C123)</f>
        <v>1.0</v>
      </c>
      <c r="F123" s="3">
        <f>ROUND(D123*E123,2)</f>
        <v>20700.0</v>
      </c>
    </row>
    <row r="124" spans="1:6">
      <c r="A124" t="str">
        <f>Orders!A124</f>
        <v>ORD-10123</v>
      </c>
      <c r="B124" t="str">
        <f>Orders!E124</f>
        <v>EMEA</v>
      </c>
      <c r="C124" t="str">
        <f>Orders!F124</f>
        <v>USD</v>
      </c>
      <c r="D124" s="3">
        <f>Orders!D124*VLOOKUP(Orders!C124,Pricebook!$A$2:$B$48,2,FALSE)</f>
        <v>3360.0</v>
      </c>
      <c r="E124" s="4">
        <f>SUMIFS(FX!$C$2:$C$277,FX!$A$2:$A$277,Summary!$B$2,FX!$B$2:$B$277,C124)</f>
        <v>1.0</v>
      </c>
      <c r="F124" s="3">
        <f>ROUND(D124*E124,2)</f>
        <v>3360.0</v>
      </c>
    </row>
    <row r="125" spans="1:6">
      <c r="A125" t="str">
        <f>Orders!A125</f>
        <v>ORD-10124</v>
      </c>
      <c r="B125" t="str">
        <f>Orders!E125</f>
        <v>EMEA</v>
      </c>
      <c r="C125" t="str">
        <f>Orders!F125</f>
        <v>USD</v>
      </c>
      <c r="D125" s="3">
        <f>Orders!D125*VLOOKUP(Orders!C125,Pricebook!$A$2:$B$48,2,FALSE)</f>
        <v>10080.0</v>
      </c>
      <c r="E125" s="4">
        <f>SUMIFS(FX!$C$2:$C$277,FX!$A$2:$A$277,Summary!$B$2,FX!$B$2:$B$277,C125)</f>
        <v>1.0</v>
      </c>
      <c r="F125" s="3">
        <f>ROUND(D125*E125,2)</f>
        <v>10080.0</v>
      </c>
    </row>
    <row r="126" spans="1:6">
      <c r="A126" t="str">
        <f>Orders!A126</f>
        <v>ORD-10125</v>
      </c>
      <c r="B126" t="str">
        <f>Orders!E126</f>
        <v>EMEA</v>
      </c>
      <c r="C126" t="str">
        <f>Orders!F126</f>
        <v>USD</v>
      </c>
      <c r="D126" s="3">
        <f>Orders!D126*VLOOKUP(Orders!C126,Pricebook!$A$2:$B$48,2,FALSE)</f>
        <v>33120.0</v>
      </c>
      <c r="E126" s="4">
        <f>SUMIFS(FX!$C$2:$C$277,FX!$A$2:$A$277,Summary!$B$2,FX!$B$2:$B$277,C126)</f>
        <v>1.0</v>
      </c>
      <c r="F126" s="3">
        <f>ROUND(D126*E126,2)</f>
        <v>33120.0</v>
      </c>
    </row>
    <row r="127" spans="1:6">
      <c r="A127" t="str">
        <f>Orders!A127</f>
        <v>ORD-10126</v>
      </c>
      <c r="B127" t="str">
        <f>Orders!E127</f>
        <v>EMEA</v>
      </c>
      <c r="C127" t="str">
        <f>Orders!F127</f>
        <v>USD</v>
      </c>
      <c r="D127" s="3">
        <f>Orders!D127*VLOOKUP(Orders!C127,Pricebook!$A$2:$B$48,2,FALSE)</f>
        <v>50820.0</v>
      </c>
      <c r="E127" s="4">
        <f>SUMIFS(FX!$C$2:$C$277,FX!$A$2:$A$277,Summary!$B$2,FX!$B$2:$B$277,C127)</f>
        <v>1.0</v>
      </c>
      <c r="F127" s="3">
        <f>ROUND(D127*E127,2)</f>
        <v>50820.0</v>
      </c>
    </row>
    <row r="128" spans="1:6">
      <c r="A128" t="str">
        <f>Orders!A128</f>
        <v>ORD-10127</v>
      </c>
      <c r="B128" t="str">
        <f>Orders!E128</f>
        <v>EMEA</v>
      </c>
      <c r="C128" t="str">
        <f>Orders!F128</f>
        <v>USD</v>
      </c>
      <c r="D128" s="3">
        <f>Orders!D128*VLOOKUP(Orders!C128,Pricebook!$A$2:$B$48,2,FALSE)</f>
        <v>24180.0</v>
      </c>
      <c r="E128" s="4">
        <f>SUMIFS(FX!$C$2:$C$277,FX!$A$2:$A$277,Summary!$B$2,FX!$B$2:$B$277,C128)</f>
        <v>1.0</v>
      </c>
      <c r="F128" s="3">
        <f>ROUND(D128*E128,2)</f>
        <v>24180.0</v>
      </c>
    </row>
    <row r="129" spans="1:6">
      <c r="A129" t="str">
        <f>Orders!A129</f>
        <v>ORD-10128</v>
      </c>
      <c r="B129" t="str">
        <f>Orders!E129</f>
        <v>EMEA</v>
      </c>
      <c r="C129" t="str">
        <f>Orders!F129</f>
        <v>USD</v>
      </c>
      <c r="D129" s="3">
        <f>Orders!D129*VLOOKUP(Orders!C129,Pricebook!$A$2:$B$48,2,FALSE)</f>
        <v>7040.0</v>
      </c>
      <c r="E129" s="4">
        <f>SUMIFS(FX!$C$2:$C$277,FX!$A$2:$A$277,Summary!$B$2,FX!$B$2:$B$277,C129)</f>
        <v>1.0</v>
      </c>
      <c r="F129" s="3">
        <f>ROUND(D129*E129,2)</f>
        <v>7040.0</v>
      </c>
    </row>
    <row r="130" spans="1:6">
      <c r="A130" t="str">
        <f>Orders!A130</f>
        <v>ORD-10129</v>
      </c>
      <c r="B130" t="str">
        <f>Orders!E130</f>
        <v>EMEA</v>
      </c>
      <c r="C130" t="str">
        <f>Orders!F130</f>
        <v>USD</v>
      </c>
      <c r="D130" s="3">
        <f>Orders!D130*VLOOKUP(Orders!C130,Pricebook!$A$2:$B$48,2,FALSE)</f>
        <v>17920.0</v>
      </c>
      <c r="E130" s="4">
        <f>SUMIFS(FX!$C$2:$C$277,FX!$A$2:$A$277,Summary!$B$2,FX!$B$2:$B$277,C130)</f>
        <v>1.0</v>
      </c>
      <c r="F130" s="3">
        <f>ROUND(D130*E130,2)</f>
        <v>17920.0</v>
      </c>
    </row>
    <row r="131" spans="1:6">
      <c r="A131" t="str">
        <f>Orders!A131</f>
        <v>ORD-10130</v>
      </c>
      <c r="B131" t="str">
        <f>Orders!E131</f>
        <v>EMEA</v>
      </c>
      <c r="C131" t="str">
        <f>Orders!F131</f>
        <v>USD</v>
      </c>
      <c r="D131" s="3">
        <f>Orders!D131*VLOOKUP(Orders!C131,Pricebook!$A$2:$B$48,2,FALSE)</f>
        <v>50820.0</v>
      </c>
      <c r="E131" s="4">
        <f>SUMIFS(FX!$C$2:$C$277,FX!$A$2:$A$277,Summary!$B$2,FX!$B$2:$B$277,C131)</f>
        <v>1.0</v>
      </c>
      <c r="F131" s="3">
        <f>ROUND(D131*E131,2)</f>
        <v>50820.0</v>
      </c>
    </row>
    <row r="132" spans="1:6">
      <c r="A132" t="str">
        <f>Orders!A132</f>
        <v>ORD-10131</v>
      </c>
      <c r="B132" t="str">
        <f>Orders!E132</f>
        <v>EMEA</v>
      </c>
      <c r="C132" t="str">
        <f>Orders!F132</f>
        <v>USD</v>
      </c>
      <c r="D132" s="3">
        <f>Orders!D132*VLOOKUP(Orders!C132,Pricebook!$A$2:$B$48,2,FALSE)</f>
        <v>41760.0</v>
      </c>
      <c r="E132" s="4">
        <f>SUMIFS(FX!$C$2:$C$277,FX!$A$2:$A$277,Summary!$B$2,FX!$B$2:$B$277,C132)</f>
        <v>1.0</v>
      </c>
      <c r="F132" s="3">
        <f>ROUND(D132*E132,2)</f>
        <v>41760.0</v>
      </c>
    </row>
    <row r="133" spans="1:6">
      <c r="A133" t="str">
        <f>Orders!A133</f>
        <v>ORD-10132</v>
      </c>
      <c r="B133" t="str">
        <f>Orders!E133</f>
        <v>EMEA</v>
      </c>
      <c r="C133" t="str">
        <f>Orders!F133</f>
        <v>USD</v>
      </c>
      <c r="D133" s="3">
        <f>Orders!D133*VLOOKUP(Orders!C133,Pricebook!$A$2:$B$48,2,FALSE)</f>
        <v>4480.0</v>
      </c>
      <c r="E133" s="4">
        <f>SUMIFS(FX!$C$2:$C$277,FX!$A$2:$A$277,Summary!$B$2,FX!$B$2:$B$277,C133)</f>
        <v>1.0</v>
      </c>
      <c r="F133" s="3">
        <f>ROUND(D133*E133,2)</f>
        <v>4480.0</v>
      </c>
    </row>
    <row r="134" spans="1:6">
      <c r="A134" t="str">
        <f>Orders!A134</f>
        <v>ORD-10133</v>
      </c>
      <c r="B134" t="str">
        <f>Orders!E134</f>
        <v>EMEA</v>
      </c>
      <c r="C134" t="str">
        <f>Orders!F134</f>
        <v>EUR</v>
      </c>
      <c r="D134" s="3">
        <f>Orders!D134*VLOOKUP(Orders!C134,Pricebook!$A$2:$B$48,2,FALSE)</f>
        <v>16900.0</v>
      </c>
      <c r="E134" s="4">
        <f>SUMIFS(FX!$C$2:$C$277,FX!$A$2:$A$277,Summary!$B$2,FX!$B$2:$B$277,C134)</f>
        <v>1.0934</v>
      </c>
      <c r="F134" s="3">
        <f>ROUND(D134*E134,2)</f>
        <v>18478.46</v>
      </c>
    </row>
    <row r="135" spans="1:6">
      <c r="A135" t="str">
        <f>Orders!A135</f>
        <v>ORD-10134</v>
      </c>
      <c r="B135" t="str">
        <f>Orders!E135</f>
        <v>EMEA</v>
      </c>
      <c r="C135" t="str">
        <f>Orders!F135</f>
        <v>USD</v>
      </c>
      <c r="D135" s="3">
        <f>Orders!D135*VLOOKUP(Orders!C135,Pricebook!$A$2:$B$48,2,FALSE)</f>
        <v>11600.0</v>
      </c>
      <c r="E135" s="4">
        <f>SUMIFS(FX!$C$2:$C$277,FX!$A$2:$A$277,Summary!$B$2,FX!$B$2:$B$277,C135)</f>
        <v>1.0</v>
      </c>
      <c r="F135" s="3">
        <f>ROUND(D135*E135,2)</f>
        <v>11600.0</v>
      </c>
    </row>
    <row r="136" spans="1:6">
      <c r="A136" t="str">
        <f>Orders!A136</f>
        <v>ORD-10135</v>
      </c>
      <c r="B136" t="str">
        <f>Orders!E136</f>
        <v>EMEA</v>
      </c>
      <c r="C136" t="str">
        <f>Orders!F136</f>
        <v>EUR</v>
      </c>
      <c r="D136" s="3">
        <f>Orders!D136*VLOOKUP(Orders!C136,Pricebook!$A$2:$B$48,2,FALSE)</f>
        <v>39900.0</v>
      </c>
      <c r="E136" s="4">
        <f>SUMIFS(FX!$C$2:$C$277,FX!$A$2:$A$277,Summary!$B$2,FX!$B$2:$B$277,C136)</f>
        <v>1.0934</v>
      </c>
      <c r="F136" s="3">
        <f>ROUND(D136*E136,2)</f>
        <v>43626.66</v>
      </c>
    </row>
    <row r="137" spans="1:6">
      <c r="A137" t="str">
        <f>Orders!A137</f>
        <v>ORD-10136</v>
      </c>
      <c r="B137" t="str">
        <f>Orders!E137</f>
        <v>EMEA</v>
      </c>
      <c r="C137" t="str">
        <f>Orders!F137</f>
        <v>EUR</v>
      </c>
      <c r="D137" s="3">
        <f>Orders!D137*VLOOKUP(Orders!C137,Pricebook!$A$2:$B$48,2,FALSE)</f>
        <v>19800.0</v>
      </c>
      <c r="E137" s="4">
        <f>SUMIFS(FX!$C$2:$C$277,FX!$A$2:$A$277,Summary!$B$2,FX!$B$2:$B$277,C137)</f>
        <v>1.0934</v>
      </c>
      <c r="F137" s="3">
        <f>ROUND(D137*E137,2)</f>
        <v>21649.32</v>
      </c>
    </row>
    <row r="138" spans="1:6">
      <c r="A138" t="str">
        <f>Orders!A138</f>
        <v>ORD-10137</v>
      </c>
      <c r="B138" t="str">
        <f>Orders!E138</f>
        <v>EMEA</v>
      </c>
      <c r="C138" t="str">
        <f>Orders!F138</f>
        <v>EUR</v>
      </c>
      <c r="D138" s="3">
        <f>Orders!D138*VLOOKUP(Orders!C138,Pricebook!$A$2:$B$48,2,FALSE)</f>
        <v>13050.0</v>
      </c>
      <c r="E138" s="4">
        <f>SUMIFS(FX!$C$2:$C$277,FX!$A$2:$A$277,Summary!$B$2,FX!$B$2:$B$277,C138)</f>
        <v>1.0934</v>
      </c>
      <c r="F138" s="3">
        <f>ROUND(D138*E138,2)</f>
        <v>14268.87</v>
      </c>
    </row>
    <row r="139" spans="1:6">
      <c r="A139" t="str">
        <f>Orders!A139</f>
        <v>ORD-10138</v>
      </c>
      <c r="B139" t="str">
        <f>Orders!E139</f>
        <v>EMEA</v>
      </c>
      <c r="C139" t="str">
        <f>Orders!F139</f>
        <v>EUR</v>
      </c>
      <c r="D139" s="3">
        <f>Orders!D139*VLOOKUP(Orders!C139,Pricebook!$A$2:$B$48,2,FALSE)</f>
        <v>11970.0</v>
      </c>
      <c r="E139" s="4">
        <f>SUMIFS(FX!$C$2:$C$277,FX!$A$2:$A$277,Summary!$B$2,FX!$B$2:$B$277,C139)</f>
        <v>1.0934</v>
      </c>
      <c r="F139" s="3">
        <f>ROUND(D139*E139,2)</f>
        <v>13088.0</v>
      </c>
    </row>
    <row r="140" spans="1:6">
      <c r="A140" t="str">
        <f>Orders!A140</f>
        <v>ORD-10139</v>
      </c>
      <c r="B140" t="str">
        <f>Orders!E140</f>
        <v>EMEA</v>
      </c>
      <c r="C140" t="str">
        <f>Orders!F140</f>
        <v>USD</v>
      </c>
      <c r="D140" s="3">
        <f>Orders!D140*VLOOKUP(Orders!C140,Pricebook!$A$2:$B$48,2,FALSE)</f>
        <v>5280.0</v>
      </c>
      <c r="E140" s="4">
        <f>SUMIFS(FX!$C$2:$C$277,FX!$A$2:$A$277,Summary!$B$2,FX!$B$2:$B$277,C140)</f>
        <v>1.0</v>
      </c>
      <c r="F140" s="3">
        <f>ROUND(D140*E140,2)</f>
        <v>5280.0</v>
      </c>
    </row>
    <row r="141" spans="1:6">
      <c r="A141" t="str">
        <f>Orders!A141</f>
        <v>ORD-10140</v>
      </c>
      <c r="B141" t="str">
        <f>Orders!E141</f>
        <v>EMEA</v>
      </c>
      <c r="C141" t="str">
        <f>Orders!F141</f>
        <v>USD</v>
      </c>
      <c r="D141" s="3">
        <f>Orders!D141*VLOOKUP(Orders!C141,Pricebook!$A$2:$B$48,2,FALSE)</f>
        <v>40600.0</v>
      </c>
      <c r="E141" s="4">
        <f>SUMIFS(FX!$C$2:$C$277,FX!$A$2:$A$277,Summary!$B$2,FX!$B$2:$B$277,C141)</f>
        <v>1.0</v>
      </c>
      <c r="F141" s="3">
        <f>ROUND(D141*E141,2)</f>
        <v>40600.0</v>
      </c>
    </row>
    <row r="142" spans="1:6">
      <c r="A142" t="str">
        <f>Orders!A142</f>
        <v>ORD-10141</v>
      </c>
      <c r="B142" t="str">
        <f>Orders!E142</f>
        <v>EMEA</v>
      </c>
      <c r="C142" t="str">
        <f>Orders!F142</f>
        <v>USD</v>
      </c>
      <c r="D142" s="3">
        <f>Orders!D142*VLOOKUP(Orders!C142,Pricebook!$A$2:$B$48,2,FALSE)</f>
        <v>10080.0</v>
      </c>
      <c r="E142" s="4">
        <f>SUMIFS(FX!$C$2:$C$277,FX!$A$2:$A$277,Summary!$B$2,FX!$B$2:$B$277,C142)</f>
        <v>1.0</v>
      </c>
      <c r="F142" s="3">
        <f>ROUND(D142*E142,2)</f>
        <v>10080.0</v>
      </c>
    </row>
    <row r="143" spans="1:6">
      <c r="A143" t="str">
        <f>Orders!A143</f>
        <v>ORD-10142</v>
      </c>
      <c r="B143" t="str">
        <f>Orders!E143</f>
        <v>EMEA</v>
      </c>
      <c r="C143" t="str">
        <f>Orders!F143</f>
        <v>EUR</v>
      </c>
      <c r="D143" s="3">
        <f>Orders!D143*VLOOKUP(Orders!C143,Pricebook!$A$2:$B$48,2,FALSE)</f>
        <v>25050.0</v>
      </c>
      <c r="E143" s="4">
        <f>SUMIFS(FX!$C$2:$C$277,FX!$A$2:$A$277,Summary!$B$2,FX!$B$2:$B$277,C143)</f>
        <v>1.0934</v>
      </c>
      <c r="F143" s="3">
        <f>ROUND(D143*E143,2)</f>
        <v>27389.67</v>
      </c>
    </row>
    <row r="144" spans="1:6">
      <c r="A144" t="str">
        <f>Orders!A144</f>
        <v>ORD-10143</v>
      </c>
      <c r="B144" t="str">
        <f>Orders!E144</f>
        <v>EMEA</v>
      </c>
      <c r="C144" t="str">
        <f>Orders!F144</f>
        <v>USD</v>
      </c>
      <c r="D144" s="3">
        <f>Orders!D144*VLOOKUP(Orders!C144,Pricebook!$A$2:$B$48,2,FALSE)</f>
        <v>13640.0</v>
      </c>
      <c r="E144" s="4">
        <f>SUMIFS(FX!$C$2:$C$277,FX!$A$2:$A$277,Summary!$B$2,FX!$B$2:$B$277,C144)</f>
        <v>1.0</v>
      </c>
      <c r="F144" s="3">
        <f>ROUND(D144*E144,2)</f>
        <v>13640.0</v>
      </c>
    </row>
    <row r="145" spans="1:6">
      <c r="A145" t="str">
        <f>Orders!A145</f>
        <v>ORD-10144</v>
      </c>
      <c r="B145" t="str">
        <f>Orders!E145</f>
        <v>EMEA</v>
      </c>
      <c r="C145" t="str">
        <f>Orders!F145</f>
        <v>USD</v>
      </c>
      <c r="D145" s="3">
        <f>Orders!D145*VLOOKUP(Orders!C145,Pricebook!$A$2:$B$48,2,FALSE)</f>
        <v>11520.0</v>
      </c>
      <c r="E145" s="4">
        <f>SUMIFS(FX!$C$2:$C$277,FX!$A$2:$A$277,Summary!$B$2,FX!$B$2:$B$277,C145)</f>
        <v>1.0</v>
      </c>
      <c r="F145" s="3">
        <f>ROUND(D145*E145,2)</f>
        <v>11520.0</v>
      </c>
    </row>
    <row r="146" spans="1:6">
      <c r="A146" t="str">
        <f>Orders!A146</f>
        <v>ORD-10145</v>
      </c>
      <c r="B146" t="str">
        <f>Orders!E146</f>
        <v>EMEA</v>
      </c>
      <c r="C146" t="str">
        <f>Orders!F146</f>
        <v>EUR</v>
      </c>
      <c r="D146" s="3">
        <f>Orders!D146*VLOOKUP(Orders!C146,Pricebook!$A$2:$B$48,2,FALSE)</f>
        <v>24650.0</v>
      </c>
      <c r="E146" s="4">
        <f>SUMIFS(FX!$C$2:$C$277,FX!$A$2:$A$277,Summary!$B$2,FX!$B$2:$B$277,C146)</f>
        <v>1.0934</v>
      </c>
      <c r="F146" s="3">
        <f>ROUND(D146*E146,2)</f>
        <v>26952.31</v>
      </c>
    </row>
    <row r="147" spans="1:6">
      <c r="A147" t="str">
        <f>Orders!A147</f>
        <v>ORD-10146</v>
      </c>
      <c r="B147" t="str">
        <f>Orders!E147</f>
        <v>EMEA</v>
      </c>
      <c r="C147" t="str">
        <f>Orders!F147</f>
        <v>GBP</v>
      </c>
      <c r="D147" s="3">
        <f>Orders!D147*VLOOKUP(Orders!C147,Pricebook!$A$2:$B$48,2,FALSE)</f>
        <v>8920.0</v>
      </c>
      <c r="E147" s="4">
        <f>SUMIFS(FX!$C$2:$C$277,FX!$A$2:$A$277,Summary!$B$2,FX!$B$2:$B$277,C147)</f>
        <v>1.2657</v>
      </c>
      <c r="F147" s="3">
        <f>ROUND(D147*E147,2)</f>
        <v>11290.04</v>
      </c>
    </row>
    <row r="148" spans="1:6">
      <c r="A148" t="str">
        <f>Orders!A148</f>
        <v>ORD-10147</v>
      </c>
      <c r="B148" t="str">
        <f>Orders!E148</f>
        <v>EMEA</v>
      </c>
      <c r="C148" t="str">
        <f>Orders!F148</f>
        <v>USD</v>
      </c>
      <c r="D148" s="3">
        <f>Orders!D148*VLOOKUP(Orders!C148,Pricebook!$A$2:$B$48,2,FALSE)</f>
        <v>49280.0</v>
      </c>
      <c r="E148" s="4">
        <f>SUMIFS(FX!$C$2:$C$277,FX!$A$2:$A$277,Summary!$B$2,FX!$B$2:$B$277,C148)</f>
        <v>1.0</v>
      </c>
      <c r="F148" s="3">
        <f>ROUND(D148*E148,2)</f>
        <v>49280.0</v>
      </c>
    </row>
    <row r="149" spans="1:6">
      <c r="A149" t="str">
        <f>Orders!A149</f>
        <v>ORD-10148</v>
      </c>
      <c r="B149" t="str">
        <f>Orders!E149</f>
        <v>EMEA</v>
      </c>
      <c r="C149" t="str">
        <f>Orders!F149</f>
        <v>EUR</v>
      </c>
      <c r="D149" s="3">
        <f>Orders!D149*VLOOKUP(Orders!C149,Pricebook!$A$2:$B$48,2,FALSE)</f>
        <v>3360.0</v>
      </c>
      <c r="E149" s="4">
        <f>SUMIFS(FX!$C$2:$C$277,FX!$A$2:$A$277,Summary!$B$2,FX!$B$2:$B$277,C149)</f>
        <v>1.0934</v>
      </c>
      <c r="F149" s="3">
        <f>ROUND(D149*E149,2)</f>
        <v>3673.82</v>
      </c>
    </row>
    <row r="150" spans="1:6">
      <c r="A150" t="str">
        <f>Orders!A150</f>
        <v>ORD-10149</v>
      </c>
      <c r="B150" t="str">
        <f>Orders!E150</f>
        <v>EMEA</v>
      </c>
      <c r="C150" t="str">
        <f>Orders!F150</f>
        <v>EUR</v>
      </c>
      <c r="D150" s="3">
        <f>Orders!D150*VLOOKUP(Orders!C150,Pricebook!$A$2:$B$48,2,FALSE)</f>
        <v>4410.0</v>
      </c>
      <c r="E150" s="4">
        <f>SUMIFS(FX!$C$2:$C$277,FX!$A$2:$A$277,Summary!$B$2,FX!$B$2:$B$277,C150)</f>
        <v>1.0934</v>
      </c>
      <c r="F150" s="3">
        <f>ROUND(D150*E150,2)</f>
        <v>4821.89</v>
      </c>
    </row>
    <row r="151" spans="1:6">
      <c r="A151" t="str">
        <f>Orders!A151</f>
        <v>ORD-10150</v>
      </c>
      <c r="B151" t="str">
        <f>Orders!E151</f>
        <v>EMEA</v>
      </c>
      <c r="C151" t="str">
        <f>Orders!F151</f>
        <v>EUR</v>
      </c>
      <c r="D151" s="3">
        <f>Orders!D151*VLOOKUP(Orders!C151,Pricebook!$A$2:$B$48,2,FALSE)</f>
        <v>33250.0</v>
      </c>
      <c r="E151" s="4">
        <f>SUMIFS(FX!$C$2:$C$277,FX!$A$2:$A$277,Summary!$B$2,FX!$B$2:$B$277,C151)</f>
        <v>1.0934</v>
      </c>
      <c r="F151" s="3">
        <f>ROUND(D151*E151,2)</f>
        <v>36355.55</v>
      </c>
    </row>
    <row r="152" spans="1:6">
      <c r="A152" t="str">
        <f>Orders!A152</f>
        <v>ORD-10151</v>
      </c>
      <c r="B152" t="str">
        <f>Orders!E152</f>
        <v>EMEA</v>
      </c>
      <c r="C152" t="str">
        <f>Orders!F152</f>
        <v>EUR</v>
      </c>
      <c r="D152" s="3">
        <f>Orders!D152*VLOOKUP(Orders!C152,Pricebook!$A$2:$B$48,2,FALSE)</f>
        <v>11700.0</v>
      </c>
      <c r="E152" s="4">
        <f>SUMIFS(FX!$C$2:$C$277,FX!$A$2:$A$277,Summary!$B$2,FX!$B$2:$B$277,C152)</f>
        <v>1.0934</v>
      </c>
      <c r="F152" s="3">
        <f>ROUND(D152*E152,2)</f>
        <v>12792.78</v>
      </c>
    </row>
    <row r="153" spans="1:6">
      <c r="A153" t="str">
        <f>Orders!A153</f>
        <v>ORD-10152</v>
      </c>
      <c r="B153" t="str">
        <f>Orders!E153</f>
        <v>EMEA</v>
      </c>
      <c r="C153" t="str">
        <f>Orders!F153</f>
        <v>EUR</v>
      </c>
      <c r="D153" s="3">
        <f>Orders!D153*VLOOKUP(Orders!C153,Pricebook!$A$2:$B$48,2,FALSE)</f>
        <v>46400.0</v>
      </c>
      <c r="E153" s="4">
        <f>SUMIFS(FX!$C$2:$C$277,FX!$A$2:$A$277,Summary!$B$2,FX!$B$2:$B$277,C153)</f>
        <v>1.0934</v>
      </c>
      <c r="F153" s="3">
        <f>ROUND(D153*E153,2)</f>
        <v>50733.76</v>
      </c>
    </row>
    <row r="154" spans="1:6">
      <c r="A154" t="str">
        <f>Orders!A154</f>
        <v>ORD-10153</v>
      </c>
      <c r="B154" t="str">
        <f>Orders!E154</f>
        <v>EMEA</v>
      </c>
      <c r="C154" t="str">
        <f>Orders!F154</f>
        <v>EUR</v>
      </c>
      <c r="D154" s="3">
        <f>Orders!D154*VLOOKUP(Orders!C154,Pricebook!$A$2:$B$48,2,FALSE)</f>
        <v>65540.0</v>
      </c>
      <c r="E154" s="4">
        <f>SUMIFS(FX!$C$2:$C$277,FX!$A$2:$A$277,Summary!$B$2,FX!$B$2:$B$277,C154)</f>
        <v>1.0934</v>
      </c>
      <c r="F154" s="3">
        <f>ROUND(D154*E154,2)</f>
        <v>71661.44</v>
      </c>
    </row>
    <row r="155" spans="1:6">
      <c r="A155" t="str">
        <f>Orders!A155</f>
        <v>ORD-10154</v>
      </c>
      <c r="B155" t="str">
        <f>Orders!E155</f>
        <v>EMEA</v>
      </c>
      <c r="C155" t="str">
        <f>Orders!F155</f>
        <v>USD</v>
      </c>
      <c r="D155" s="3">
        <f>Orders!D155*VLOOKUP(Orders!C155,Pricebook!$A$2:$B$48,2,FALSE)</f>
        <v>9920.0</v>
      </c>
      <c r="E155" s="4">
        <f>SUMIFS(FX!$C$2:$C$277,FX!$A$2:$A$277,Summary!$B$2,FX!$B$2:$B$277,C155)</f>
        <v>1.0</v>
      </c>
      <c r="F155" s="3">
        <f>ROUND(D155*E155,2)</f>
        <v>9920.0</v>
      </c>
    </row>
    <row r="156" spans="1:6">
      <c r="A156" t="str">
        <f>Orders!A156</f>
        <v>ORD-10155</v>
      </c>
      <c r="B156" t="str">
        <f>Orders!E156</f>
        <v>EMEA</v>
      </c>
      <c r="C156" t="str">
        <f>Orders!F156</f>
        <v>USD</v>
      </c>
      <c r="D156" s="3">
        <f>Orders!D156*VLOOKUP(Orders!C156,Pricebook!$A$2:$B$48,2,FALSE)</f>
        <v>52080.0</v>
      </c>
      <c r="E156" s="4">
        <f>SUMIFS(FX!$C$2:$C$277,FX!$A$2:$A$277,Summary!$B$2,FX!$B$2:$B$277,C156)</f>
        <v>1.0</v>
      </c>
      <c r="F156" s="3">
        <f>ROUND(D156*E156,2)</f>
        <v>52080.0</v>
      </c>
    </row>
    <row r="157" spans="1:6">
      <c r="A157" t="str">
        <f>Orders!A157</f>
        <v>ORD-10156</v>
      </c>
      <c r="B157" t="str">
        <f>Orders!E157</f>
        <v>EMEA</v>
      </c>
      <c r="C157" t="str">
        <f>Orders!F157</f>
        <v>USD</v>
      </c>
      <c r="D157" s="3">
        <f>Orders!D157*VLOOKUP(Orders!C157,Pricebook!$A$2:$B$48,2,FALSE)</f>
        <v>9800.0</v>
      </c>
      <c r="E157" s="4">
        <f>SUMIFS(FX!$C$2:$C$277,FX!$A$2:$A$277,Summary!$B$2,FX!$B$2:$B$277,C157)</f>
        <v>1.0</v>
      </c>
      <c r="F157" s="3">
        <f>ROUND(D157*E157,2)</f>
        <v>9800.0</v>
      </c>
    </row>
    <row r="158" spans="1:6">
      <c r="A158" t="str">
        <f>Orders!A158</f>
        <v>ORD-10157</v>
      </c>
      <c r="B158" t="str">
        <f>Orders!E158</f>
        <v>EMEA</v>
      </c>
      <c r="C158" t="str">
        <f>Orders!F158</f>
        <v>EUR</v>
      </c>
      <c r="D158" s="3">
        <f>Orders!D158*VLOOKUP(Orders!C158,Pricebook!$A$2:$B$48,2,FALSE)</f>
        <v>19980.0</v>
      </c>
      <c r="E158" s="4">
        <f>SUMIFS(FX!$C$2:$C$277,FX!$A$2:$A$277,Summary!$B$2,FX!$B$2:$B$277,C158)</f>
        <v>1.0934</v>
      </c>
      <c r="F158" s="3">
        <f>ROUND(D158*E158,2)</f>
        <v>21846.13</v>
      </c>
    </row>
    <row r="159" spans="1:6">
      <c r="A159" t="str">
        <f>Orders!A159</f>
        <v>ORD-10158</v>
      </c>
      <c r="B159" t="str">
        <f>Orders!E159</f>
        <v>EMEA</v>
      </c>
      <c r="C159" t="str">
        <f>Orders!F159</f>
        <v>USD</v>
      </c>
      <c r="D159" s="3">
        <f>Orders!D159*VLOOKUP(Orders!C159,Pricebook!$A$2:$B$48,2,FALSE)</f>
        <v>5800.0</v>
      </c>
      <c r="E159" s="4">
        <f>SUMIFS(FX!$C$2:$C$277,FX!$A$2:$A$277,Summary!$B$2,FX!$B$2:$B$277,C159)</f>
        <v>1.0</v>
      </c>
      <c r="F159" s="3">
        <f>ROUND(D159*E159,2)</f>
        <v>5800.0</v>
      </c>
    </row>
    <row r="160" spans="1:6">
      <c r="A160" t="str">
        <f>Orders!A160</f>
        <v>ORD-10159</v>
      </c>
      <c r="B160" t="str">
        <f>Orders!E160</f>
        <v>EMEA</v>
      </c>
      <c r="C160" t="str">
        <f>Orders!F160</f>
        <v>GBP</v>
      </c>
      <c r="D160" s="3">
        <f>Orders!D160*VLOOKUP(Orders!C160,Pricebook!$A$2:$B$48,2,FALSE)</f>
        <v>26790.0</v>
      </c>
      <c r="E160" s="4">
        <f>SUMIFS(FX!$C$2:$C$277,FX!$A$2:$A$277,Summary!$B$2,FX!$B$2:$B$277,C160)</f>
        <v>1.2657</v>
      </c>
      <c r="F160" s="3">
        <f>ROUND(D160*E160,2)</f>
        <v>33908.1</v>
      </c>
    </row>
    <row r="161" spans="1:6">
      <c r="A161" t="str">
        <f>Orders!A161</f>
        <v>ORD-10160</v>
      </c>
      <c r="B161" t="str">
        <f>Orders!E161</f>
        <v>EMEA</v>
      </c>
      <c r="C161" t="str">
        <f>Orders!F161</f>
        <v>USD</v>
      </c>
      <c r="D161" s="3">
        <f>Orders!D161*VLOOKUP(Orders!C161,Pricebook!$A$2:$B$48,2,FALSE)</f>
        <v>20640.0</v>
      </c>
      <c r="E161" s="4">
        <f>SUMIFS(FX!$C$2:$C$277,FX!$A$2:$A$277,Summary!$B$2,FX!$B$2:$B$277,C161)</f>
        <v>1.0</v>
      </c>
      <c r="F161" s="3">
        <f>ROUND(D161*E161,2)</f>
        <v>20640.0</v>
      </c>
    </row>
    <row r="162" spans="1:6">
      <c r="A162" t="str">
        <f>Orders!A162</f>
        <v>ORD-10161</v>
      </c>
      <c r="B162" t="str">
        <f>Orders!E162</f>
        <v>EMEA</v>
      </c>
      <c r="C162" t="str">
        <f>Orders!F162</f>
        <v>USD</v>
      </c>
      <c r="D162" s="3">
        <f>Orders!D162*VLOOKUP(Orders!C162,Pricebook!$A$2:$B$48,2,FALSE)</f>
        <v>17200.0</v>
      </c>
      <c r="E162" s="4">
        <f>SUMIFS(FX!$C$2:$C$277,FX!$A$2:$A$277,Summary!$B$2,FX!$B$2:$B$277,C162)</f>
        <v>1.0</v>
      </c>
      <c r="F162" s="3">
        <f>ROUND(D162*E162,2)</f>
        <v>17200.0</v>
      </c>
    </row>
    <row r="163" spans="1:6">
      <c r="A163" t="str">
        <f>Orders!A163</f>
        <v>ORD-10162</v>
      </c>
      <c r="B163" t="str">
        <f>Orders!E163</f>
        <v>APAC</v>
      </c>
      <c r="C163" t="str">
        <f>Orders!F163</f>
        <v>EUR</v>
      </c>
      <c r="D163" s="3">
        <f>Orders!D163*VLOOKUP(Orders!C163,Pricebook!$A$2:$B$48,2,FALSE)</f>
        <v>35910.0</v>
      </c>
      <c r="E163" s="4">
        <f>SUMIFS(FX!$C$2:$C$277,FX!$A$2:$A$277,Summary!$B$2,FX!$B$2:$B$277,C163)</f>
        <v>1.0934</v>
      </c>
      <c r="F163" s="3">
        <f>ROUND(D163*E163,2)</f>
        <v>39263.99</v>
      </c>
    </row>
    <row r="164" spans="1:6">
      <c r="A164" t="str">
        <f>Orders!A164</f>
        <v>ORD-10163</v>
      </c>
      <c r="B164" t="str">
        <f>Orders!E164</f>
        <v>APAC</v>
      </c>
      <c r="C164" t="str">
        <f>Orders!F164</f>
        <v>USD</v>
      </c>
      <c r="D164" s="3">
        <f>Orders!D164*VLOOKUP(Orders!C164,Pricebook!$A$2:$B$48,2,FALSE)</f>
        <v>39150.0</v>
      </c>
      <c r="E164" s="4">
        <f>SUMIFS(FX!$C$2:$C$277,FX!$A$2:$A$277,Summary!$B$2,FX!$B$2:$B$277,C164)</f>
        <v>1.0</v>
      </c>
      <c r="F164" s="3">
        <f>ROUND(D164*E164,2)</f>
        <v>39150.0</v>
      </c>
    </row>
    <row r="165" spans="1:6">
      <c r="A165" t="str">
        <f>Orders!A165</f>
        <v>ORD-10164</v>
      </c>
      <c r="B165" t="str">
        <f>Orders!E165</f>
        <v>APAC</v>
      </c>
      <c r="C165" t="str">
        <f>Orders!F165</f>
        <v>USD</v>
      </c>
      <c r="D165" s="3">
        <f>Orders!D165*VLOOKUP(Orders!C165,Pricebook!$A$2:$B$48,2,FALSE)</f>
        <v>16200.0</v>
      </c>
      <c r="E165" s="4">
        <f>SUMIFS(FX!$C$2:$C$277,FX!$A$2:$A$277,Summary!$B$2,FX!$B$2:$B$277,C165)</f>
        <v>1.0</v>
      </c>
      <c r="F165" s="3">
        <f>ROUND(D165*E165,2)</f>
        <v>16200.0</v>
      </c>
    </row>
    <row r="166" spans="1:6">
      <c r="A166" t="str">
        <f>Orders!A166</f>
        <v>ORD-10165</v>
      </c>
      <c r="B166" t="str">
        <f>Orders!E166</f>
        <v>APAC</v>
      </c>
      <c r="C166" t="str">
        <f>Orders!F166</f>
        <v>EUR</v>
      </c>
      <c r="D166" s="3">
        <f>Orders!D166*VLOOKUP(Orders!C166,Pricebook!$A$2:$B$48,2,FALSE)</f>
        <v>25230.0</v>
      </c>
      <c r="E166" s="4">
        <f>SUMIFS(FX!$C$2:$C$277,FX!$A$2:$A$277,Summary!$B$2,FX!$B$2:$B$277,C166)</f>
        <v>1.0934</v>
      </c>
      <c r="F166" s="3">
        <f>ROUND(D166*E166,2)</f>
        <v>27586.48</v>
      </c>
    </row>
    <row r="167" spans="1:6">
      <c r="A167" t="str">
        <f>Orders!A167</f>
        <v>ORD-10166</v>
      </c>
      <c r="B167" t="str">
        <f>Orders!E167</f>
        <v>APAC</v>
      </c>
      <c r="C167" t="str">
        <f>Orders!F167</f>
        <v>GBP</v>
      </c>
      <c r="D167" s="3">
        <f>Orders!D167*VLOOKUP(Orders!C167,Pricebook!$A$2:$B$48,2,FALSE)</f>
        <v>61190.0</v>
      </c>
      <c r="E167" s="4">
        <f>SUMIFS(FX!$C$2:$C$277,FX!$A$2:$A$277,Summary!$B$2,FX!$B$2:$B$277,C167)</f>
        <v>1.2657</v>
      </c>
      <c r="F167" s="3">
        <f>ROUND(D167*E167,2)</f>
        <v>77448.18</v>
      </c>
    </row>
    <row r="168" spans="1:6">
      <c r="A168" t="str">
        <f>Orders!A168</f>
        <v>ORD-10167</v>
      </c>
      <c r="B168" t="str">
        <f>Orders!E168</f>
        <v>APAC</v>
      </c>
      <c r="C168" t="str">
        <f>Orders!F168</f>
        <v>USD</v>
      </c>
      <c r="D168" s="3">
        <f>Orders!D168*VLOOKUP(Orders!C168,Pricebook!$A$2:$B$48,2,FALSE)</f>
        <v>15680.0</v>
      </c>
      <c r="E168" s="4">
        <f>SUMIFS(FX!$C$2:$C$277,FX!$A$2:$A$277,Summary!$B$2,FX!$B$2:$B$277,C168)</f>
        <v>1.0</v>
      </c>
      <c r="F168" s="3">
        <f>ROUND(D168*E168,2)</f>
        <v>15680.0</v>
      </c>
    </row>
    <row r="169" spans="1:6">
      <c r="A169" t="str">
        <f>Orders!A169</f>
        <v>ORD-10168</v>
      </c>
      <c r="B169" t="str">
        <f>Orders!E169</f>
        <v>APAC</v>
      </c>
      <c r="C169" t="str">
        <f>Orders!F169</f>
        <v>USD</v>
      </c>
      <c r="D169" s="3">
        <f>Orders!D169*VLOOKUP(Orders!C169,Pricebook!$A$2:$B$48,2,FALSE)</f>
        <v>10560.0</v>
      </c>
      <c r="E169" s="4">
        <f>SUMIFS(FX!$C$2:$C$277,FX!$A$2:$A$277,Summary!$B$2,FX!$B$2:$B$277,C169)</f>
        <v>1.0</v>
      </c>
      <c r="F169" s="3">
        <f>ROUND(D169*E169,2)</f>
        <v>10560.0</v>
      </c>
    </row>
    <row r="170" spans="1:6">
      <c r="A170" t="str">
        <f>Orders!A170</f>
        <v>ORD-10169</v>
      </c>
      <c r="B170" t="str">
        <f>Orders!E170</f>
        <v>APAC</v>
      </c>
      <c r="C170" t="str">
        <f>Orders!F170</f>
        <v>USD</v>
      </c>
      <c r="D170" s="3">
        <f>Orders!D170*VLOOKUP(Orders!C170,Pricebook!$A$2:$B$48,2,FALSE)</f>
        <v>10780.0</v>
      </c>
      <c r="E170" s="4">
        <f>SUMIFS(FX!$C$2:$C$277,FX!$A$2:$A$277,Summary!$B$2,FX!$B$2:$B$277,C170)</f>
        <v>1.0</v>
      </c>
      <c r="F170" s="3">
        <f>ROUND(D170*E170,2)</f>
        <v>10780.0</v>
      </c>
    </row>
    <row r="171" spans="1:6">
      <c r="A171" t="str">
        <f>Orders!A171</f>
        <v>ORD-10170</v>
      </c>
      <c r="B171" t="str">
        <f>Orders!E171</f>
        <v>APAC</v>
      </c>
      <c r="C171" t="str">
        <f>Orders!F171</f>
        <v>EUR</v>
      </c>
      <c r="D171" s="3">
        <f>Orders!D171*VLOOKUP(Orders!C171,Pricebook!$A$2:$B$48,2,FALSE)</f>
        <v>11970.0</v>
      </c>
      <c r="E171" s="4">
        <f>SUMIFS(FX!$C$2:$C$277,FX!$A$2:$A$277,Summary!$B$2,FX!$B$2:$B$277,C171)</f>
        <v>1.0934</v>
      </c>
      <c r="F171" s="3">
        <f>ROUND(D171*E171,2)</f>
        <v>13088.0</v>
      </c>
    </row>
    <row r="172" spans="1:6">
      <c r="A172" t="str">
        <f>Orders!A172</f>
        <v>ORD-10171</v>
      </c>
      <c r="B172" t="str">
        <f>Orders!E172</f>
        <v>APAC</v>
      </c>
      <c r="C172" t="str">
        <f>Orders!F172</f>
        <v>USD</v>
      </c>
      <c r="D172" s="3">
        <f>Orders!D172*VLOOKUP(Orders!C172,Pricebook!$A$2:$B$48,2,FALSE)</f>
        <v>30240.0</v>
      </c>
      <c r="E172" s="4">
        <f>SUMIFS(FX!$C$2:$C$277,FX!$A$2:$A$277,Summary!$B$2,FX!$B$2:$B$277,C172)</f>
        <v>1.0</v>
      </c>
      <c r="F172" s="3">
        <f>ROUND(D172*E172,2)</f>
        <v>30240.0</v>
      </c>
    </row>
    <row r="173" spans="1:6">
      <c r="A173" t="str">
        <f>Orders!A173</f>
        <v>ORD-10172</v>
      </c>
      <c r="B173" t="str">
        <f>Orders!E173</f>
        <v>APAC</v>
      </c>
      <c r="C173" t="str">
        <f>Orders!F173</f>
        <v>EUR</v>
      </c>
      <c r="D173" s="3">
        <f>Orders!D173*VLOOKUP(Orders!C173,Pricebook!$A$2:$B$48,2,FALSE)</f>
        <v>27720.0</v>
      </c>
      <c r="E173" s="4">
        <f>SUMIFS(FX!$C$2:$C$277,FX!$A$2:$A$277,Summary!$B$2,FX!$B$2:$B$277,C173)</f>
        <v>1.0934</v>
      </c>
      <c r="F173" s="3">
        <f>ROUND(D173*E173,2)</f>
        <v>30309.05</v>
      </c>
    </row>
    <row r="174" spans="1:6">
      <c r="A174" t="str">
        <f>Orders!A174</f>
        <v>ORD-10173</v>
      </c>
      <c r="B174" t="str">
        <f>Orders!E174</f>
        <v>APAC</v>
      </c>
      <c r="C174" t="str">
        <f>Orders!F174</f>
        <v>USD</v>
      </c>
      <c r="D174" s="3">
        <f>Orders!D174*VLOOKUP(Orders!C174,Pricebook!$A$2:$B$48,2,FALSE)</f>
        <v>15120.0</v>
      </c>
      <c r="E174" s="4">
        <f>SUMIFS(FX!$C$2:$C$277,FX!$A$2:$A$277,Summary!$B$2,FX!$B$2:$B$277,C174)</f>
        <v>1.0</v>
      </c>
      <c r="F174" s="3">
        <f>ROUND(D174*E174,2)</f>
        <v>15120.0</v>
      </c>
    </row>
    <row r="175" spans="1:6">
      <c r="A175" t="str">
        <f>Orders!A175</f>
        <v>ORD-10174</v>
      </c>
      <c r="B175" t="str">
        <f>Orders!E175</f>
        <v>APAC</v>
      </c>
      <c r="C175" t="str">
        <f>Orders!F175</f>
        <v>GBP</v>
      </c>
      <c r="D175" s="3">
        <f>Orders!D175*VLOOKUP(Orders!C175,Pricebook!$A$2:$B$48,2,FALSE)</f>
        <v>21850.0</v>
      </c>
      <c r="E175" s="4">
        <f>SUMIFS(FX!$C$2:$C$277,FX!$A$2:$A$277,Summary!$B$2,FX!$B$2:$B$277,C175)</f>
        <v>1.2657</v>
      </c>
      <c r="F175" s="3">
        <f>ROUND(D175*E175,2)</f>
        <v>27655.55</v>
      </c>
    </row>
    <row r="176" spans="1:6">
      <c r="A176" t="str">
        <f>Orders!A176</f>
        <v>ORD-10175</v>
      </c>
      <c r="B176" t="str">
        <f>Orders!E176</f>
        <v>APAC</v>
      </c>
      <c r="C176" t="str">
        <f>Orders!F176</f>
        <v>EUR</v>
      </c>
      <c r="D176" s="3">
        <f>Orders!D176*VLOOKUP(Orders!C176,Pricebook!$A$2:$B$48,2,FALSE)</f>
        <v>16900.0</v>
      </c>
      <c r="E176" s="4">
        <f>SUMIFS(FX!$C$2:$C$277,FX!$A$2:$A$277,Summary!$B$2,FX!$B$2:$B$277,C176)</f>
        <v>1.0934</v>
      </c>
      <c r="F176" s="3">
        <f>ROUND(D176*E176,2)</f>
        <v>18478.46</v>
      </c>
    </row>
    <row r="177" spans="1:6">
      <c r="A177" t="str">
        <f>Orders!A177</f>
        <v>ORD-10176</v>
      </c>
      <c r="B177" t="str">
        <f>Orders!E177</f>
        <v>APAC</v>
      </c>
      <c r="C177" t="str">
        <f>Orders!F177</f>
        <v>USD</v>
      </c>
      <c r="D177" s="3">
        <f>Orders!D177*VLOOKUP(Orders!C177,Pricebook!$A$2:$B$48,2,FALSE)</f>
        <v>58800.0</v>
      </c>
      <c r="E177" s="4">
        <f>SUMIFS(FX!$C$2:$C$277,FX!$A$2:$A$277,Summary!$B$2,FX!$B$2:$B$277,C177)</f>
        <v>1.0</v>
      </c>
      <c r="F177" s="3">
        <f>ROUND(D177*E177,2)</f>
        <v>58800.0</v>
      </c>
    </row>
    <row r="178" spans="1:6">
      <c r="A178" t="str">
        <f>Orders!A178</f>
        <v>ORD-10177</v>
      </c>
      <c r="B178" t="str">
        <f>Orders!E178</f>
        <v>APAC</v>
      </c>
      <c r="C178" t="str">
        <f>Orders!F178</f>
        <v>USD</v>
      </c>
      <c r="D178" s="3">
        <f>Orders!D178*VLOOKUP(Orders!C178,Pricebook!$A$2:$B$48,2,FALSE)</f>
        <v>13680.0</v>
      </c>
      <c r="E178" s="4">
        <f>SUMIFS(FX!$C$2:$C$277,FX!$A$2:$A$277,Summary!$B$2,FX!$B$2:$B$277,C178)</f>
        <v>1.0</v>
      </c>
      <c r="F178" s="3">
        <f>ROUND(D178*E178,2)</f>
        <v>13680.0</v>
      </c>
    </row>
    <row r="179" spans="1:6">
      <c r="A179" t="str">
        <f>Orders!A179</f>
        <v>ORD-10178</v>
      </c>
      <c r="B179" t="str">
        <f>Orders!E179</f>
        <v>APAC</v>
      </c>
      <c r="C179" t="str">
        <f>Orders!F179</f>
        <v>USD</v>
      </c>
      <c r="D179" s="3">
        <f>Orders!D179*VLOOKUP(Orders!C179,Pricebook!$A$2:$B$48,2,FALSE)</f>
        <v>16800.0</v>
      </c>
      <c r="E179" s="4">
        <f>SUMIFS(FX!$C$2:$C$277,FX!$A$2:$A$277,Summary!$B$2,FX!$B$2:$B$277,C179)</f>
        <v>1.0</v>
      </c>
      <c r="F179" s="3">
        <f>ROUND(D179*E179,2)</f>
        <v>16800.0</v>
      </c>
    </row>
    <row r="180" spans="1:6">
      <c r="A180" t="str">
        <f>Orders!A180</f>
        <v>ORD-10179</v>
      </c>
      <c r="B180" t="str">
        <f>Orders!E180</f>
        <v>LATAM</v>
      </c>
      <c r="C180" t="str">
        <f>Orders!F180</f>
        <v>USD</v>
      </c>
      <c r="D180" s="3">
        <f>Orders!D180*VLOOKUP(Orders!C180,Pricebook!$A$2:$B$48,2,FALSE)</f>
        <v>21500.0</v>
      </c>
      <c r="E180" s="4">
        <f>SUMIFS(FX!$C$2:$C$277,FX!$A$2:$A$277,Summary!$B$2,FX!$B$2:$B$277,C180)</f>
        <v>1.0</v>
      </c>
      <c r="F180" s="3">
        <f>ROUND(D180*E180,2)</f>
        <v>21500.0</v>
      </c>
    </row>
    <row r="181" spans="1:6">
      <c r="A181" t="str">
        <f>Orders!A181</f>
        <v>ORD-10180</v>
      </c>
      <c r="B181" t="str">
        <f>Orders!E181</f>
        <v>LATAM</v>
      </c>
      <c r="C181" t="str">
        <f>Orders!F181</f>
        <v>USD</v>
      </c>
      <c r="D181" s="3">
        <f>Orders!D181*VLOOKUP(Orders!C181,Pricebook!$A$2:$B$48,2,FALSE)</f>
        <v>50960.0</v>
      </c>
      <c r="E181" s="4">
        <f>SUMIFS(FX!$C$2:$C$277,FX!$A$2:$A$277,Summary!$B$2,FX!$B$2:$B$277,C181)</f>
        <v>1.0</v>
      </c>
      <c r="F181" s="3">
        <f>ROUND(D181*E181,2)</f>
        <v>50960.0</v>
      </c>
    </row>
    <row r="182" spans="1:6">
      <c r="A182" t="str">
        <f>Orders!A182</f>
        <v>ORD-10181</v>
      </c>
      <c r="B182" t="str">
        <f>Orders!E182</f>
        <v>LATAM</v>
      </c>
      <c r="C182" t="str">
        <f>Orders!F182</f>
        <v>EUR</v>
      </c>
      <c r="D182" s="3">
        <f>Orders!D182*VLOOKUP(Orders!C182,Pricebook!$A$2:$B$48,2,FALSE)</f>
        <v>2610.0</v>
      </c>
      <c r="E182" s="4">
        <f>SUMIFS(FX!$C$2:$C$277,FX!$A$2:$A$277,Summary!$B$2,FX!$B$2:$B$277,C182)</f>
        <v>1.0934</v>
      </c>
      <c r="F182" s="3">
        <f>ROUND(D182*E182,2)</f>
        <v>2853.77</v>
      </c>
    </row>
    <row r="183" spans="1:6">
      <c r="A183" t="str">
        <f>Orders!A183</f>
        <v>ORD-10182</v>
      </c>
      <c r="B183" t="str">
        <f>Orders!E183</f>
        <v>LATAM</v>
      </c>
      <c r="C183" t="str">
        <f>Orders!F183</f>
        <v>GBP</v>
      </c>
      <c r="D183" s="3">
        <f>Orders!D183*VLOOKUP(Orders!C183,Pricebook!$A$2:$B$48,2,FALSE)</f>
        <v>29610.0</v>
      </c>
      <c r="E183" s="4">
        <f>SUMIFS(FX!$C$2:$C$277,FX!$A$2:$A$277,Summary!$B$2,FX!$B$2:$B$277,C183)</f>
        <v>1.2657</v>
      </c>
      <c r="F183" s="3">
        <f>ROUND(D183*E183,2)</f>
        <v>37477.38</v>
      </c>
    </row>
    <row r="184" spans="1:6">
      <c r="A184" t="str">
        <f>Orders!A184</f>
        <v>ORD-10183</v>
      </c>
      <c r="B184" t="str">
        <f>Orders!E184</f>
        <v>LATAM</v>
      </c>
      <c r="C184" t="str">
        <f>Orders!F184</f>
        <v>EUR</v>
      </c>
      <c r="D184" s="3">
        <f>Orders!D184*VLOOKUP(Orders!C184,Pricebook!$A$2:$B$48,2,FALSE)</f>
        <v>17400.0</v>
      </c>
      <c r="E184" s="4">
        <f>SUMIFS(FX!$C$2:$C$277,FX!$A$2:$A$277,Summary!$B$2,FX!$B$2:$B$277,C184)</f>
        <v>1.0934</v>
      </c>
      <c r="F184" s="3">
        <f>ROUND(D184*E184,2)</f>
        <v>19025.16</v>
      </c>
    </row>
    <row r="185" spans="1:6">
      <c r="A185" t="str">
        <f>Orders!A185</f>
        <v>ORD-10184</v>
      </c>
      <c r="B185" t="str">
        <f>Orders!E185</f>
        <v>LATAM</v>
      </c>
      <c r="C185" t="str">
        <f>Orders!F185</f>
        <v>USD</v>
      </c>
      <c r="D185" s="3">
        <f>Orders!D185*VLOOKUP(Orders!C185,Pricebook!$A$2:$B$48,2,FALSE)</f>
        <v>13440.0</v>
      </c>
      <c r="E185" s="4">
        <f>SUMIFS(FX!$C$2:$C$277,FX!$A$2:$A$277,Summary!$B$2,FX!$B$2:$B$277,C185)</f>
        <v>1.0</v>
      </c>
      <c r="F185" s="3">
        <f>ROUND(D185*E185,2)</f>
        <v>13440.0</v>
      </c>
    </row>
    <row r="186" spans="1:6">
      <c r="A186" t="str">
        <f>Orders!A186</f>
        <v>ORD-10185</v>
      </c>
      <c r="B186" t="str">
        <f>Orders!E186</f>
        <v>LATAM</v>
      </c>
      <c r="C186" t="str">
        <f>Orders!F186</f>
        <v>USD</v>
      </c>
      <c r="D186" s="3">
        <f>Orders!D186*VLOOKUP(Orders!C186,Pricebook!$A$2:$B$48,2,FALSE)</f>
        <v>7200.0</v>
      </c>
      <c r="E186" s="4">
        <f>SUMIFS(FX!$C$2:$C$277,FX!$A$2:$A$277,Summary!$B$2,FX!$B$2:$B$277,C186)</f>
        <v>1.0</v>
      </c>
      <c r="F186" s="3">
        <f>ROUND(D186*E186,2)</f>
        <v>7200.0</v>
      </c>
    </row>
    <row r="187" spans="1:6">
      <c r="A187" t="str">
        <f>Orders!A187</f>
        <v>ORD-10186</v>
      </c>
      <c r="B187" t="str">
        <f>Orders!E187</f>
        <v>LATAM</v>
      </c>
      <c r="C187" t="str">
        <f>Orders!F187</f>
        <v>USD</v>
      </c>
      <c r="D187" s="3">
        <f>Orders!D187*VLOOKUP(Orders!C187,Pricebook!$A$2:$B$48,2,FALSE)</f>
        <v>4350.0</v>
      </c>
      <c r="E187" s="4">
        <f>SUMIFS(FX!$C$2:$C$277,FX!$A$2:$A$277,Summary!$B$2,FX!$B$2:$B$277,C187)</f>
        <v>1.0</v>
      </c>
      <c r="F187" s="3">
        <f>ROUND(D187*E187,2)</f>
        <v>4350.0</v>
      </c>
    </row>
    <row r="188" spans="1:6">
      <c r="A188" t="str">
        <f>Orders!A188</f>
        <v>ORD-10187</v>
      </c>
      <c r="B188" t="str">
        <f>Orders!E188</f>
        <v>LATAM</v>
      </c>
      <c r="C188" t="str">
        <f>Orders!F188</f>
        <v>EUR</v>
      </c>
      <c r="D188" s="3">
        <f>Orders!D188*VLOOKUP(Orders!C188,Pricebook!$A$2:$B$48,2,FALSE)</f>
        <v>25080.0</v>
      </c>
      <c r="E188" s="4">
        <f>SUMIFS(FX!$C$2:$C$277,FX!$A$2:$A$277,Summary!$B$2,FX!$B$2:$B$277,C188)</f>
        <v>1.0934</v>
      </c>
      <c r="F188" s="3">
        <f>ROUND(D188*E188,2)</f>
        <v>27422.47</v>
      </c>
    </row>
    <row r="189" spans="1:6">
      <c r="A189" t="str">
        <f>Orders!A189</f>
        <v>ORD-10188</v>
      </c>
      <c r="B189" t="str">
        <f>Orders!E189</f>
        <v>LATAM</v>
      </c>
      <c r="C189" t="str">
        <f>Orders!F189</f>
        <v>USD</v>
      </c>
      <c r="D189" s="3">
        <f>Orders!D189*VLOOKUP(Orders!C189,Pricebook!$A$2:$B$48,2,FALSE)</f>
        <v>62370.0</v>
      </c>
      <c r="E189" s="4">
        <f>SUMIFS(FX!$C$2:$C$277,FX!$A$2:$A$277,Summary!$B$2,FX!$B$2:$B$277,C189)</f>
        <v>1.0</v>
      </c>
      <c r="F189" s="3">
        <f>ROUND(D189*E189,2)</f>
        <v>62370.0</v>
      </c>
    </row>
    <row r="190" spans="1:6">
      <c r="A190" t="str">
        <f>Orders!A190</f>
        <v>ORD-10189</v>
      </c>
      <c r="B190" t="str">
        <f>Orders!E190</f>
        <v>LATAM</v>
      </c>
      <c r="C190" t="str">
        <f>Orders!F190</f>
        <v>USD</v>
      </c>
      <c r="D190" s="3">
        <f>Orders!D190*VLOOKUP(Orders!C190,Pricebook!$A$2:$B$48,2,FALSE)</f>
        <v>22780.0</v>
      </c>
      <c r="E190" s="4">
        <f>SUMIFS(FX!$C$2:$C$277,FX!$A$2:$A$277,Summary!$B$2,FX!$B$2:$B$277,C190)</f>
        <v>1.0</v>
      </c>
      <c r="F190" s="3">
        <f>ROUND(D190*E190,2)</f>
        <v>22780.0</v>
      </c>
    </row>
    <row r="191" spans="1:6">
      <c r="A191" t="str">
        <f>Orders!A191</f>
        <v>ORD-10190</v>
      </c>
      <c r="B191" t="str">
        <f>Orders!E191</f>
        <v>LATAM</v>
      </c>
      <c r="C191" t="str">
        <f>Orders!F191</f>
        <v>GBP</v>
      </c>
      <c r="D191" s="3">
        <f>Orders!D191*VLOOKUP(Orders!C191,Pricebook!$A$2:$B$48,2,FALSE)</f>
        <v>20700.0</v>
      </c>
      <c r="E191" s="4">
        <f>SUMIFS(FX!$C$2:$C$277,FX!$A$2:$A$277,Summary!$B$2,FX!$B$2:$B$277,C191)</f>
        <v>1.2657</v>
      </c>
      <c r="F191" s="3">
        <f>ROUND(D191*E191,2)</f>
        <v>26199.99</v>
      </c>
    </row>
    <row r="192" spans="1:6">
      <c r="A192" t="str">
        <f>Orders!A192</f>
        <v>ORD-10191</v>
      </c>
      <c r="B192" t="str">
        <f>Orders!E192</f>
        <v>LATAM</v>
      </c>
      <c r="C192" t="str">
        <f>Orders!F192</f>
        <v>EUR</v>
      </c>
      <c r="D192" s="3">
        <f>Orders!D192*VLOOKUP(Orders!C192,Pricebook!$A$2:$B$48,2,FALSE)</f>
        <v>14790.0</v>
      </c>
      <c r="E192" s="4">
        <f>SUMIFS(FX!$C$2:$C$277,FX!$A$2:$A$277,Summary!$B$2,FX!$B$2:$B$277,C192)</f>
        <v>1.0934</v>
      </c>
      <c r="F192" s="3">
        <f>ROUND(D192*E192,2)</f>
        <v>16171.39</v>
      </c>
    </row>
    <row r="193" spans="1:6">
      <c r="A193" t="str">
        <f>Orders!A193</f>
        <v>ORD-10192</v>
      </c>
      <c r="B193" t="str">
        <f>Orders!E193</f>
        <v>LATAM</v>
      </c>
      <c r="C193" t="str">
        <f>Orders!F193</f>
        <v>USD</v>
      </c>
      <c r="D193" s="3">
        <f>Orders!D193*VLOOKUP(Orders!C193,Pricebook!$A$2:$B$48,2,FALSE)</f>
        <v>25530.0</v>
      </c>
      <c r="E193" s="4">
        <f>SUMIFS(FX!$C$2:$C$277,FX!$A$2:$A$277,Summary!$B$2,FX!$B$2:$B$277,C193)</f>
        <v>1.0</v>
      </c>
      <c r="F193" s="3">
        <f>ROUND(D193*E193,2)</f>
        <v>25530.0</v>
      </c>
    </row>
    <row r="194" spans="1:6">
      <c r="A194" t="str">
        <f>Orders!A194</f>
        <v>ORD-10193</v>
      </c>
      <c r="B194" t="str">
        <f>Orders!E194</f>
        <v>LATAM</v>
      </c>
      <c r="C194" t="str">
        <f>Orders!F194</f>
        <v>USD</v>
      </c>
      <c r="D194" s="3">
        <f>Orders!D194*VLOOKUP(Orders!C194,Pricebook!$A$2:$B$48,2,FALSE)</f>
        <v>8320.0</v>
      </c>
      <c r="E194" s="4">
        <f>SUMIFS(FX!$C$2:$C$277,FX!$A$2:$A$277,Summary!$B$2,FX!$B$2:$B$277,C194)</f>
        <v>1.0</v>
      </c>
      <c r="F194" s="3">
        <f>ROUND(D194*E194,2)</f>
        <v>8320.0</v>
      </c>
    </row>
    <row r="195" spans="1:6">
      <c r="A195" t="str">
        <f>Orders!A195</f>
        <v>ORD-10194</v>
      </c>
      <c r="B195" t="str">
        <f>Orders!E195</f>
        <v>LATAM</v>
      </c>
      <c r="C195" t="str">
        <f>Orders!F195</f>
        <v>GBP</v>
      </c>
      <c r="D195" s="3">
        <f>Orders!D195*VLOOKUP(Orders!C195,Pricebook!$A$2:$B$48,2,FALSE)</f>
        <v>27430.0</v>
      </c>
      <c r="E195" s="4">
        <f>SUMIFS(FX!$C$2:$C$277,FX!$A$2:$A$277,Summary!$B$2,FX!$B$2:$B$277,C195)</f>
        <v>1.2657</v>
      </c>
      <c r="F195" s="3">
        <f>ROUND(D195*E195,2)</f>
        <v>34718.15</v>
      </c>
    </row>
    <row r="196" spans="1:6">
      <c r="A196" t="str">
        <f>Orders!A196</f>
        <v>ORD-10195</v>
      </c>
      <c r="B196" t="str">
        <f>Orders!E196</f>
        <v>LATAM</v>
      </c>
      <c r="C196" t="str">
        <f>Orders!F196</f>
        <v>GBP</v>
      </c>
      <c r="D196" s="3">
        <f>Orders!D196*VLOOKUP(Orders!C196,Pricebook!$A$2:$B$48,2,FALSE)</f>
        <v>5750.0</v>
      </c>
      <c r="E196" s="4">
        <f>SUMIFS(FX!$C$2:$C$277,FX!$A$2:$A$277,Summary!$B$2,FX!$B$2:$B$277,C196)</f>
        <v>1.2657</v>
      </c>
      <c r="F196" s="3">
        <f>ROUND(D196*E196,2)</f>
        <v>7277.78</v>
      </c>
    </row>
    <row r="197" spans="1:6">
      <c r="A197" t="str">
        <f>Orders!A197</f>
        <v>ORD-10196</v>
      </c>
      <c r="B197" t="str">
        <f>Orders!E197</f>
        <v>LATAM</v>
      </c>
      <c r="C197" t="str">
        <f>Orders!F197</f>
        <v>USD</v>
      </c>
      <c r="D197" s="3">
        <f>Orders!D197*VLOOKUP(Orders!C197,Pricebook!$A$2:$B$48,2,FALSE)</f>
        <v>38160.0</v>
      </c>
      <c r="E197" s="4">
        <f>SUMIFS(FX!$C$2:$C$277,FX!$A$2:$A$277,Summary!$B$2,FX!$B$2:$B$277,C197)</f>
        <v>1.0</v>
      </c>
      <c r="F197" s="3">
        <f>ROUND(D197*E197,2)</f>
        <v>38160.0</v>
      </c>
    </row>
    <row r="198" spans="1:6">
      <c r="A198" t="str">
        <f>Orders!A198</f>
        <v>ORD-10197</v>
      </c>
      <c r="B198" t="str">
        <f>Orders!E198</f>
        <v>LATAM</v>
      </c>
      <c r="C198" t="str">
        <f>Orders!F198</f>
        <v>USD</v>
      </c>
      <c r="D198" s="3">
        <f>Orders!D198*VLOOKUP(Orders!C198,Pricebook!$A$2:$B$48,2,FALSE)</f>
        <v>27600.0</v>
      </c>
      <c r="E198" s="4">
        <f>SUMIFS(FX!$C$2:$C$277,FX!$A$2:$A$277,Summary!$B$2,FX!$B$2:$B$277,C198)</f>
        <v>1.0</v>
      </c>
      <c r="F198" s="3">
        <f>ROUND(D198*E198,2)</f>
        <v>27600.0</v>
      </c>
    </row>
    <row r="199" spans="1:6">
      <c r="A199" t="str">
        <f>Orders!A199</f>
        <v>ORD-10198</v>
      </c>
      <c r="B199" t="str">
        <f>Orders!E199</f>
        <v>LATAM</v>
      </c>
      <c r="C199" t="str">
        <f>Orders!F199</f>
        <v>USD</v>
      </c>
      <c r="D199" s="3">
        <f>Orders!D199*VLOOKUP(Orders!C199,Pricebook!$A$2:$B$48,2,FALSE)</f>
        <v>3100.0</v>
      </c>
      <c r="E199" s="4">
        <f>SUMIFS(FX!$C$2:$C$277,FX!$A$2:$A$277,Summary!$B$2,FX!$B$2:$B$277,C199)</f>
        <v>1.0</v>
      </c>
      <c r="F199" s="3">
        <f>ROUND(D199*E199,2)</f>
        <v>3100.0</v>
      </c>
    </row>
    <row r="200" spans="1:6">
      <c r="A200" t="str">
        <f>Orders!A200</f>
        <v>ORD-10199</v>
      </c>
      <c r="B200" t="str">
        <f>Orders!E200</f>
        <v>LATAM</v>
      </c>
      <c r="C200" t="str">
        <f>Orders!F200</f>
        <v>USD</v>
      </c>
      <c r="D200" s="3">
        <f>Orders!D200*VLOOKUP(Orders!C200,Pricebook!$A$2:$B$48,2,FALSE)</f>
        <v>26400.0</v>
      </c>
      <c r="E200" s="4">
        <f>SUMIFS(FX!$C$2:$C$277,FX!$A$2:$A$277,Summary!$B$2,FX!$B$2:$B$277,C200)</f>
        <v>1.0</v>
      </c>
      <c r="F200" s="3">
        <f>ROUND(D200*E200,2)</f>
        <v>26400.0</v>
      </c>
    </row>
    <row r="201" spans="1:6">
      <c r="A201" t="str">
        <f>Orders!A201</f>
        <v>ORD-10200</v>
      </c>
      <c r="B201" t="str">
        <f>Orders!E201</f>
        <v>LATAM</v>
      </c>
      <c r="C201" t="str">
        <f>Orders!F201</f>
        <v>USD</v>
      </c>
      <c r="D201" s="3">
        <f>Orders!D201*VLOOKUP(Orders!C201,Pricebook!$A$2:$B$48,2,FALSE)</f>
        <v>28770.0</v>
      </c>
      <c r="E201" s="4">
        <f>SUMIFS(FX!$C$2:$C$277,FX!$A$2:$A$277,Summary!$B$2,FX!$B$2:$B$277,C201)</f>
        <v>1.0</v>
      </c>
      <c r="F201" s="3">
        <f>ROUND(D201*E201,2)</f>
        <v>28770.0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G201"/>
  <sheetViews>
    <sheetView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 t="s">
        <v>7</v>
      </c>
      <c r="B2" s="2">
        <v>46210</v>
      </c>
      <c r="C2" t="s">
        <v>8</v>
      </c>
      <c r="D2" s="5">
        <v>13</v>
      </c>
      <c r="E2" t="s">
        <v>9</v>
      </c>
      <c r="F2" t="s">
        <v>10</v>
      </c>
      <c r="G2" s="3">
        <v>630</v>
      </c>
    </row>
    <row r="3" spans="1:7">
      <c r="A3" t="s">
        <v>11</v>
      </c>
      <c r="B3" s="2">
        <v>46212</v>
      </c>
      <c r="C3" t="s">
        <v>12</v>
      </c>
      <c r="D3" s="5">
        <v>9</v>
      </c>
      <c r="E3" t="s">
        <v>9</v>
      </c>
      <c r="F3" t="s">
        <v>13</v>
      </c>
      <c r="G3" s="3">
        <v>1380</v>
      </c>
    </row>
    <row r="4" spans="1:7">
      <c r="A4" t="s">
        <v>14</v>
      </c>
      <c r="B4" s="2">
        <v>46231</v>
      </c>
      <c r="C4" t="s">
        <v>15</v>
      </c>
      <c r="D4" s="5">
        <v>3</v>
      </c>
      <c r="E4" t="s">
        <v>9</v>
      </c>
      <c r="F4" t="s">
        <v>13</v>
      </c>
      <c r="G4" s="3">
        <v>1450</v>
      </c>
    </row>
    <row r="5" spans="1:7">
      <c r="A5" t="s">
        <v>16</v>
      </c>
      <c r="B5" s="2">
        <v>46246</v>
      </c>
      <c r="C5" t="s">
        <v>17</v>
      </c>
      <c r="D5" s="5">
        <v>15</v>
      </c>
      <c r="E5" t="s">
        <v>9</v>
      </c>
      <c r="F5" t="s">
        <v>13</v>
      </c>
      <c r="G5" s="3">
        <v>2120</v>
      </c>
    </row>
    <row r="6" spans="1:7">
      <c r="A6" t="s">
        <v>18</v>
      </c>
      <c r="B6" s="2">
        <v>46274</v>
      </c>
      <c r="C6" t="s">
        <v>19</v>
      </c>
      <c r="D6" s="5">
        <v>27</v>
      </c>
      <c r="E6" t="s">
        <v>9</v>
      </c>
      <c r="F6" t="s">
        <v>13</v>
      </c>
      <c r="G6" s="3">
        <v>1440</v>
      </c>
    </row>
    <row r="7" spans="1:7">
      <c r="A7" t="s">
        <v>20</v>
      </c>
      <c r="B7" s="2">
        <v>46234</v>
      </c>
      <c r="C7" t="s">
        <v>8</v>
      </c>
      <c r="D7" s="5">
        <v>27</v>
      </c>
      <c r="E7" t="s">
        <v>9</v>
      </c>
      <c r="F7" t="s">
        <v>10</v>
      </c>
      <c r="G7" s="3">
        <v>630</v>
      </c>
    </row>
    <row r="8" spans="1:7">
      <c r="A8" t="s">
        <v>21</v>
      </c>
      <c r="B8" s="2">
        <v>46283</v>
      </c>
      <c r="C8" t="s">
        <v>22</v>
      </c>
      <c r="D8" s="5">
        <v>28</v>
      </c>
      <c r="E8" t="s">
        <v>9</v>
      </c>
      <c r="F8" t="s">
        <v>23</v>
      </c>
      <c r="G8" s="3">
        <v>1410</v>
      </c>
    </row>
    <row r="9" spans="1:7">
      <c r="A9" t="s">
        <v>24</v>
      </c>
      <c r="B9" s="2">
        <v>46283</v>
      </c>
      <c r="C9" t="s">
        <v>25</v>
      </c>
      <c r="D9" s="5">
        <v>20</v>
      </c>
      <c r="E9" t="s">
        <v>9</v>
      </c>
      <c r="F9" t="s">
        <v>13</v>
      </c>
      <c r="G9" s="3">
        <v>1460</v>
      </c>
    </row>
    <row r="10" spans="1:7">
      <c r="A10" t="s">
        <v>26</v>
      </c>
      <c r="B10" s="2">
        <v>46227</v>
      </c>
      <c r="C10" t="s">
        <v>27</v>
      </c>
      <c r="D10" s="5">
        <v>16</v>
      </c>
      <c r="E10" t="s">
        <v>9</v>
      </c>
      <c r="F10" t="s">
        <v>10</v>
      </c>
      <c r="G10" s="3">
        <v>1110</v>
      </c>
    </row>
    <row r="11" spans="1:7">
      <c r="A11" t="s">
        <v>28</v>
      </c>
      <c r="B11" s="2">
        <v>46278</v>
      </c>
      <c r="C11" t="s">
        <v>29</v>
      </c>
      <c r="D11" s="5">
        <v>21</v>
      </c>
      <c r="E11" t="s">
        <v>9</v>
      </c>
      <c r="F11" t="s">
        <v>13</v>
      </c>
      <c r="G11" s="3">
        <v>860</v>
      </c>
    </row>
    <row r="12" spans="1:7">
      <c r="A12" t="s">
        <v>30</v>
      </c>
      <c r="B12" s="2">
        <v>46271</v>
      </c>
      <c r="C12" t="s">
        <v>17</v>
      </c>
      <c r="D12" s="5">
        <v>15</v>
      </c>
      <c r="E12" t="s">
        <v>9</v>
      </c>
      <c r="F12" t="s">
        <v>13</v>
      </c>
      <c r="G12" s="3">
        <v>2145</v>
      </c>
    </row>
    <row r="13" spans="1:7">
      <c r="A13" t="s">
        <v>31</v>
      </c>
      <c r="B13" s="2">
        <v>46226</v>
      </c>
      <c r="C13" t="s">
        <v>32</v>
      </c>
      <c r="D13" s="5">
        <v>23</v>
      </c>
      <c r="E13" t="s">
        <v>9</v>
      </c>
      <c r="F13" t="s">
        <v>13</v>
      </c>
      <c r="G13" s="3">
        <v>1110</v>
      </c>
    </row>
    <row r="14" spans="1:7">
      <c r="A14" t="s">
        <v>33</v>
      </c>
      <c r="B14" s="2">
        <v>46289</v>
      </c>
      <c r="C14" t="s">
        <v>34</v>
      </c>
      <c r="D14" s="5">
        <v>23</v>
      </c>
      <c r="E14" t="s">
        <v>9</v>
      </c>
      <c r="F14" t="s">
        <v>10</v>
      </c>
      <c r="G14" s="3">
        <v>1560</v>
      </c>
    </row>
    <row r="15" spans="1:7">
      <c r="A15" t="s">
        <v>35</v>
      </c>
      <c r="B15" s="2">
        <v>46265</v>
      </c>
      <c r="C15" t="s">
        <v>36</v>
      </c>
      <c r="D15" s="5">
        <v>13</v>
      </c>
      <c r="E15" t="s">
        <v>9</v>
      </c>
      <c r="F15" t="s">
        <v>10</v>
      </c>
      <c r="G15" s="3">
        <v>2345</v>
      </c>
    </row>
    <row r="16" spans="1:7">
      <c r="A16" t="s">
        <v>37</v>
      </c>
      <c r="B16" s="2">
        <v>46224</v>
      </c>
      <c r="C16" t="s">
        <v>38</v>
      </c>
      <c r="D16" s="5">
        <v>18</v>
      </c>
      <c r="E16" t="s">
        <v>9</v>
      </c>
      <c r="F16" t="s">
        <v>10</v>
      </c>
      <c r="G16" s="3">
        <v>1380</v>
      </c>
    </row>
    <row r="17" spans="1:7">
      <c r="A17" t="s">
        <v>39</v>
      </c>
      <c r="B17" s="2">
        <v>46229</v>
      </c>
      <c r="C17" t="s">
        <v>40</v>
      </c>
      <c r="D17" s="5">
        <v>4</v>
      </c>
      <c r="E17" t="s">
        <v>9</v>
      </c>
      <c r="F17" t="s">
        <v>23</v>
      </c>
      <c r="G17" s="3">
        <v>790</v>
      </c>
    </row>
    <row r="18" spans="1:7">
      <c r="A18" t="s">
        <v>41</v>
      </c>
      <c r="B18" s="2">
        <v>46256</v>
      </c>
      <c r="C18" t="s">
        <v>25</v>
      </c>
      <c r="D18" s="5">
        <v>18</v>
      </c>
      <c r="E18" t="s">
        <v>9</v>
      </c>
      <c r="F18" t="s">
        <v>13</v>
      </c>
      <c r="G18" s="3">
        <v>1460</v>
      </c>
    </row>
    <row r="19" spans="1:7">
      <c r="A19" t="s">
        <v>42</v>
      </c>
      <c r="B19" s="2">
        <v>46211</v>
      </c>
      <c r="C19" t="s">
        <v>22</v>
      </c>
      <c r="D19" s="5">
        <v>27</v>
      </c>
      <c r="E19" t="s">
        <v>9</v>
      </c>
      <c r="F19" t="s">
        <v>23</v>
      </c>
      <c r="G19" s="3">
        <v>1410</v>
      </c>
    </row>
    <row r="20" spans="1:7">
      <c r="A20" t="s">
        <v>43</v>
      </c>
      <c r="B20" s="2">
        <v>46291</v>
      </c>
      <c r="C20" t="s">
        <v>38</v>
      </c>
      <c r="D20" s="5">
        <v>7</v>
      </c>
      <c r="E20" t="s">
        <v>9</v>
      </c>
      <c r="F20" t="s">
        <v>10</v>
      </c>
      <c r="G20" s="3">
        <v>1380</v>
      </c>
    </row>
    <row r="21" spans="1:7">
      <c r="A21" t="s">
        <v>44</v>
      </c>
      <c r="B21" s="2">
        <v>46278</v>
      </c>
      <c r="C21" t="s">
        <v>45</v>
      </c>
      <c r="D21" s="5">
        <v>6</v>
      </c>
      <c r="E21" t="s">
        <v>9</v>
      </c>
      <c r="F21" t="s">
        <v>13</v>
      </c>
      <c r="G21" s="3">
        <v>1860</v>
      </c>
    </row>
    <row r="22" spans="1:7">
      <c r="A22" t="s">
        <v>46</v>
      </c>
      <c r="B22" s="2">
        <v>46265</v>
      </c>
      <c r="C22" t="s">
        <v>47</v>
      </c>
      <c r="D22" s="5">
        <v>21</v>
      </c>
      <c r="E22" t="s">
        <v>9</v>
      </c>
      <c r="F22" t="s">
        <v>13</v>
      </c>
      <c r="G22" s="3">
        <v>1800</v>
      </c>
    </row>
    <row r="23" spans="1:7">
      <c r="A23" t="s">
        <v>48</v>
      </c>
      <c r="B23" s="2">
        <v>46263</v>
      </c>
      <c r="C23" t="s">
        <v>19</v>
      </c>
      <c r="D23" s="5">
        <v>18</v>
      </c>
      <c r="E23" t="s">
        <v>9</v>
      </c>
      <c r="F23" t="s">
        <v>13</v>
      </c>
      <c r="G23" s="3">
        <v>1440</v>
      </c>
    </row>
    <row r="24" spans="1:7">
      <c r="A24" t="s">
        <v>49</v>
      </c>
      <c r="B24" s="2">
        <v>46250</v>
      </c>
      <c r="C24" t="s">
        <v>50</v>
      </c>
      <c r="D24" s="5">
        <v>25</v>
      </c>
      <c r="E24" t="s">
        <v>9</v>
      </c>
      <c r="F24" t="s">
        <v>23</v>
      </c>
      <c r="G24" s="3">
        <v>1150</v>
      </c>
    </row>
    <row r="25" spans="1:7">
      <c r="A25" t="s">
        <v>51</v>
      </c>
      <c r="B25" s="2">
        <v>46221</v>
      </c>
      <c r="C25" t="s">
        <v>52</v>
      </c>
      <c r="D25" s="5">
        <v>6</v>
      </c>
      <c r="E25" t="s">
        <v>9</v>
      </c>
      <c r="F25" t="s">
        <v>13</v>
      </c>
      <c r="G25" s="3">
        <v>620</v>
      </c>
    </row>
    <row r="26" spans="1:7">
      <c r="A26" t="s">
        <v>53</v>
      </c>
      <c r="B26" s="2">
        <v>46250</v>
      </c>
      <c r="C26" t="s">
        <v>54</v>
      </c>
      <c r="D26" s="5">
        <v>14</v>
      </c>
      <c r="E26" t="s">
        <v>9</v>
      </c>
      <c r="F26" t="s">
        <v>10</v>
      </c>
      <c r="G26" s="3">
        <v>1330</v>
      </c>
    </row>
    <row r="27" spans="1:7">
      <c r="A27" t="s">
        <v>55</v>
      </c>
      <c r="B27" s="2">
        <v>46284</v>
      </c>
      <c r="C27" t="s">
        <v>56</v>
      </c>
      <c r="D27" s="5">
        <v>21</v>
      </c>
      <c r="E27" t="s">
        <v>9</v>
      </c>
      <c r="F27" t="s">
        <v>13</v>
      </c>
      <c r="G27" s="3">
        <v>2100</v>
      </c>
    </row>
    <row r="28" spans="1:7">
      <c r="A28" t="s">
        <v>57</v>
      </c>
      <c r="B28" s="2">
        <v>46222</v>
      </c>
      <c r="C28" t="s">
        <v>58</v>
      </c>
      <c r="D28" s="5">
        <v>5</v>
      </c>
      <c r="E28" t="s">
        <v>9</v>
      </c>
      <c r="F28" t="s">
        <v>10</v>
      </c>
      <c r="G28" s="3">
        <v>870</v>
      </c>
    </row>
    <row r="29" spans="1:7">
      <c r="A29" t="s">
        <v>59</v>
      </c>
      <c r="B29" s="2">
        <v>46268</v>
      </c>
      <c r="C29" t="s">
        <v>60</v>
      </c>
      <c r="D29" s="5">
        <v>12</v>
      </c>
      <c r="E29" t="s">
        <v>9</v>
      </c>
      <c r="F29" t="s">
        <v>13</v>
      </c>
      <c r="G29" s="3">
        <v>1500</v>
      </c>
    </row>
    <row r="30" spans="1:7">
      <c r="A30" t="s">
        <v>61</v>
      </c>
      <c r="B30" s="2">
        <v>46244</v>
      </c>
      <c r="C30" t="s">
        <v>19</v>
      </c>
      <c r="D30" s="5">
        <v>12</v>
      </c>
      <c r="E30" t="s">
        <v>9</v>
      </c>
      <c r="F30" t="s">
        <v>13</v>
      </c>
      <c r="G30" s="3">
        <v>1440</v>
      </c>
    </row>
    <row r="31" spans="1:7">
      <c r="A31" t="s">
        <v>62</v>
      </c>
      <c r="B31" s="2">
        <v>46252</v>
      </c>
      <c r="C31" t="s">
        <v>15</v>
      </c>
      <c r="D31" s="5">
        <v>5</v>
      </c>
      <c r="E31" t="s">
        <v>9</v>
      </c>
      <c r="F31" t="s">
        <v>13</v>
      </c>
      <c r="G31" s="3">
        <v>1450</v>
      </c>
    </row>
    <row r="32" spans="1:7">
      <c r="A32" t="s">
        <v>63</v>
      </c>
      <c r="B32" s="2">
        <v>46227</v>
      </c>
      <c r="C32" t="s">
        <v>64</v>
      </c>
      <c r="D32" s="5">
        <v>15</v>
      </c>
      <c r="E32" t="s">
        <v>9</v>
      </c>
      <c r="F32" t="s">
        <v>23</v>
      </c>
      <c r="G32" s="3">
        <v>2230</v>
      </c>
    </row>
    <row r="33" spans="1:7">
      <c r="A33" t="s">
        <v>65</v>
      </c>
      <c r="B33" s="2">
        <v>46236</v>
      </c>
      <c r="C33" t="s">
        <v>66</v>
      </c>
      <c r="D33" s="5">
        <v>17</v>
      </c>
      <c r="E33" t="s">
        <v>9</v>
      </c>
      <c r="F33" t="s">
        <v>13</v>
      </c>
      <c r="G33" s="3">
        <v>890</v>
      </c>
    </row>
    <row r="34" spans="1:7">
      <c r="A34" t="s">
        <v>67</v>
      </c>
      <c r="B34" s="2">
        <v>46264</v>
      </c>
      <c r="C34" t="s">
        <v>25</v>
      </c>
      <c r="D34" s="5">
        <v>24</v>
      </c>
      <c r="E34" t="s">
        <v>9</v>
      </c>
      <c r="F34" t="s">
        <v>13</v>
      </c>
      <c r="G34" s="3">
        <v>1460</v>
      </c>
    </row>
    <row r="35" spans="1:7">
      <c r="A35" t="s">
        <v>68</v>
      </c>
      <c r="B35" s="2">
        <v>46271</v>
      </c>
      <c r="C35" t="s">
        <v>69</v>
      </c>
      <c r="D35" s="5">
        <v>24</v>
      </c>
      <c r="E35" t="s">
        <v>9</v>
      </c>
      <c r="F35" t="s">
        <v>10</v>
      </c>
      <c r="G35" s="3">
        <v>1670</v>
      </c>
    </row>
    <row r="36" spans="1:7">
      <c r="A36" t="s">
        <v>70</v>
      </c>
      <c r="B36" s="2">
        <v>46244</v>
      </c>
      <c r="C36" t="s">
        <v>71</v>
      </c>
      <c r="D36" s="5">
        <v>5</v>
      </c>
      <c r="E36" t="s">
        <v>9</v>
      </c>
      <c r="F36" t="s">
        <v>10</v>
      </c>
      <c r="G36" s="3">
        <v>1320</v>
      </c>
    </row>
    <row r="37" spans="1:7">
      <c r="A37" t="s">
        <v>72</v>
      </c>
      <c r="B37" s="2">
        <v>46256</v>
      </c>
      <c r="C37" t="s">
        <v>73</v>
      </c>
      <c r="D37" s="5">
        <v>15</v>
      </c>
      <c r="E37" t="s">
        <v>9</v>
      </c>
      <c r="F37" t="s">
        <v>13</v>
      </c>
      <c r="G37" s="3">
        <v>1120</v>
      </c>
    </row>
    <row r="38" spans="1:7">
      <c r="A38" t="s">
        <v>74</v>
      </c>
      <c r="B38" s="2">
        <v>46248</v>
      </c>
      <c r="C38" t="s">
        <v>75</v>
      </c>
      <c r="D38" s="5">
        <v>22</v>
      </c>
      <c r="E38" t="s">
        <v>9</v>
      </c>
      <c r="F38" t="s">
        <v>13</v>
      </c>
      <c r="G38" s="3">
        <v>1710</v>
      </c>
    </row>
    <row r="39" spans="1:7">
      <c r="A39" t="s">
        <v>76</v>
      </c>
      <c r="B39" s="2">
        <v>46270</v>
      </c>
      <c r="C39" t="s">
        <v>77</v>
      </c>
      <c r="D39" s="5">
        <v>30</v>
      </c>
      <c r="E39" t="s">
        <v>9</v>
      </c>
      <c r="F39" t="s">
        <v>13</v>
      </c>
      <c r="G39" s="3">
        <v>1380</v>
      </c>
    </row>
    <row r="40" spans="1:7">
      <c r="A40" t="s">
        <v>78</v>
      </c>
      <c r="B40" s="2">
        <v>46268</v>
      </c>
      <c r="C40" t="s">
        <v>79</v>
      </c>
      <c r="D40" s="5">
        <v>18</v>
      </c>
      <c r="E40" t="s">
        <v>9</v>
      </c>
      <c r="F40" t="s">
        <v>10</v>
      </c>
      <c r="G40" s="3">
        <v>1300</v>
      </c>
    </row>
    <row r="41" spans="1:7">
      <c r="A41" t="s">
        <v>80</v>
      </c>
      <c r="B41" s="2">
        <v>46281</v>
      </c>
      <c r="C41" t="s">
        <v>52</v>
      </c>
      <c r="D41" s="5">
        <v>26</v>
      </c>
      <c r="E41" t="s">
        <v>9</v>
      </c>
      <c r="F41" t="s">
        <v>13</v>
      </c>
      <c r="G41" s="3">
        <v>620</v>
      </c>
    </row>
    <row r="42" spans="1:7">
      <c r="A42" t="s">
        <v>81</v>
      </c>
      <c r="B42" s="2">
        <v>46230</v>
      </c>
      <c r="C42" t="s">
        <v>12</v>
      </c>
      <c r="D42" s="5">
        <v>7</v>
      </c>
      <c r="E42" t="s">
        <v>9</v>
      </c>
      <c r="F42" t="s">
        <v>13</v>
      </c>
      <c r="G42" s="3">
        <v>1380</v>
      </c>
    </row>
    <row r="43" spans="1:7">
      <c r="A43" t="s">
        <v>82</v>
      </c>
      <c r="B43" s="2">
        <v>46230</v>
      </c>
      <c r="C43" t="s">
        <v>83</v>
      </c>
      <c r="D43" s="5">
        <v>4</v>
      </c>
      <c r="E43" t="s">
        <v>9</v>
      </c>
      <c r="F43" t="s">
        <v>23</v>
      </c>
      <c r="G43" s="3">
        <v>2110</v>
      </c>
    </row>
    <row r="44" spans="1:7">
      <c r="A44" t="s">
        <v>84</v>
      </c>
      <c r="B44" s="2">
        <v>46256</v>
      </c>
      <c r="C44" t="s">
        <v>52</v>
      </c>
      <c r="D44" s="5">
        <v>19</v>
      </c>
      <c r="E44" t="s">
        <v>9</v>
      </c>
      <c r="F44" t="s">
        <v>13</v>
      </c>
      <c r="G44" s="3">
        <v>620</v>
      </c>
    </row>
    <row r="45" spans="1:7">
      <c r="A45" t="s">
        <v>85</v>
      </c>
      <c r="B45" s="2">
        <v>46255</v>
      </c>
      <c r="C45" t="s">
        <v>45</v>
      </c>
      <c r="D45" s="5">
        <v>8</v>
      </c>
      <c r="E45" t="s">
        <v>9</v>
      </c>
      <c r="F45" t="s">
        <v>13</v>
      </c>
      <c r="G45" s="3">
        <v>1860</v>
      </c>
    </row>
    <row r="46" spans="1:7">
      <c r="A46" t="s">
        <v>86</v>
      </c>
      <c r="B46" s="2">
        <v>46284</v>
      </c>
      <c r="C46" t="s">
        <v>73</v>
      </c>
      <c r="D46" s="5">
        <v>7</v>
      </c>
      <c r="E46" t="s">
        <v>9</v>
      </c>
      <c r="F46" t="s">
        <v>13</v>
      </c>
      <c r="G46" s="3">
        <v>1120</v>
      </c>
    </row>
    <row r="47" spans="1:7">
      <c r="A47" t="s">
        <v>87</v>
      </c>
      <c r="B47" s="2">
        <v>46217</v>
      </c>
      <c r="C47" t="s">
        <v>52</v>
      </c>
      <c r="D47" s="5">
        <v>26</v>
      </c>
      <c r="E47" t="s">
        <v>9</v>
      </c>
      <c r="F47" t="s">
        <v>13</v>
      </c>
      <c r="G47" s="3">
        <v>620</v>
      </c>
    </row>
    <row r="48" spans="1:7">
      <c r="A48" t="s">
        <v>88</v>
      </c>
      <c r="B48" s="2">
        <v>46288</v>
      </c>
      <c r="C48" t="s">
        <v>29</v>
      </c>
      <c r="D48" s="5">
        <v>14</v>
      </c>
      <c r="E48" t="s">
        <v>9</v>
      </c>
      <c r="F48" t="s">
        <v>13</v>
      </c>
      <c r="G48" s="3">
        <v>860</v>
      </c>
    </row>
    <row r="49" spans="1:7">
      <c r="A49" t="s">
        <v>89</v>
      </c>
      <c r="B49" s="2">
        <v>46279</v>
      </c>
      <c r="C49" t="s">
        <v>64</v>
      </c>
      <c r="D49" s="5">
        <v>9</v>
      </c>
      <c r="E49" t="s">
        <v>9</v>
      </c>
      <c r="F49" t="s">
        <v>23</v>
      </c>
      <c r="G49" s="3">
        <v>2230</v>
      </c>
    </row>
    <row r="50" spans="1:7">
      <c r="A50" t="s">
        <v>90</v>
      </c>
      <c r="B50" s="2">
        <v>46291</v>
      </c>
      <c r="C50" t="s">
        <v>91</v>
      </c>
      <c r="D50" s="5">
        <v>18</v>
      </c>
      <c r="E50" t="s">
        <v>9</v>
      </c>
      <c r="F50" t="s">
        <v>13</v>
      </c>
      <c r="G50" s="3">
        <v>550</v>
      </c>
    </row>
    <row r="51" spans="1:7">
      <c r="A51" t="s">
        <v>92</v>
      </c>
      <c r="B51" s="2">
        <v>46273</v>
      </c>
      <c r="C51" t="s">
        <v>69</v>
      </c>
      <c r="D51" s="5">
        <v>2</v>
      </c>
      <c r="E51" t="s">
        <v>9</v>
      </c>
      <c r="F51" t="s">
        <v>10</v>
      </c>
      <c r="G51" s="3">
        <v>1670</v>
      </c>
    </row>
    <row r="52" spans="1:7">
      <c r="A52" t="s">
        <v>93</v>
      </c>
      <c r="B52" s="2">
        <v>46225</v>
      </c>
      <c r="C52" t="s">
        <v>94</v>
      </c>
      <c r="D52" s="5">
        <v>29</v>
      </c>
      <c r="E52" t="s">
        <v>9</v>
      </c>
      <c r="F52" t="s">
        <v>13</v>
      </c>
      <c r="G52" s="3">
        <v>560</v>
      </c>
    </row>
    <row r="53" spans="1:7">
      <c r="A53" t="s">
        <v>95</v>
      </c>
      <c r="B53" s="2">
        <v>46234</v>
      </c>
      <c r="C53" t="s">
        <v>45</v>
      </c>
      <c r="D53" s="5">
        <v>17</v>
      </c>
      <c r="E53" t="s">
        <v>9</v>
      </c>
      <c r="F53" t="s">
        <v>13</v>
      </c>
      <c r="G53" s="3">
        <v>1860</v>
      </c>
    </row>
    <row r="54" spans="1:7">
      <c r="A54" t="s">
        <v>96</v>
      </c>
      <c r="B54" s="2">
        <v>46264</v>
      </c>
      <c r="C54" t="s">
        <v>97</v>
      </c>
      <c r="D54" s="5">
        <v>5</v>
      </c>
      <c r="E54" t="s">
        <v>9</v>
      </c>
      <c r="F54" t="s">
        <v>13</v>
      </c>
      <c r="G54" s="3">
        <v>1960</v>
      </c>
    </row>
    <row r="55" spans="1:7">
      <c r="A55" t="s">
        <v>98</v>
      </c>
      <c r="B55" s="2">
        <v>46283</v>
      </c>
      <c r="C55" t="s">
        <v>73</v>
      </c>
      <c r="D55" s="5">
        <v>27</v>
      </c>
      <c r="E55" t="s">
        <v>9</v>
      </c>
      <c r="F55" t="s">
        <v>13</v>
      </c>
      <c r="G55" s="3">
        <v>1120</v>
      </c>
    </row>
    <row r="56" spans="1:7">
      <c r="A56" t="s">
        <v>99</v>
      </c>
      <c r="B56" s="2">
        <v>46205</v>
      </c>
      <c r="C56" t="s">
        <v>66</v>
      </c>
      <c r="D56" s="5">
        <v>25</v>
      </c>
      <c r="E56" t="s">
        <v>9</v>
      </c>
      <c r="F56" t="s">
        <v>13</v>
      </c>
      <c r="G56" s="3">
        <v>890</v>
      </c>
    </row>
    <row r="57" spans="1:7">
      <c r="A57" t="s">
        <v>100</v>
      </c>
      <c r="B57" s="2">
        <v>46211</v>
      </c>
      <c r="C57" t="s">
        <v>101</v>
      </c>
      <c r="D57" s="5">
        <v>21</v>
      </c>
      <c r="E57" t="s">
        <v>9</v>
      </c>
      <c r="F57" t="s">
        <v>13</v>
      </c>
      <c r="G57" s="3">
        <v>640</v>
      </c>
    </row>
    <row r="58" spans="1:7">
      <c r="A58" t="s">
        <v>102</v>
      </c>
      <c r="B58" s="2">
        <v>46237</v>
      </c>
      <c r="C58" t="s">
        <v>66</v>
      </c>
      <c r="D58" s="5">
        <v>26</v>
      </c>
      <c r="E58" t="s">
        <v>9</v>
      </c>
      <c r="F58" t="s">
        <v>13</v>
      </c>
      <c r="G58" s="3">
        <v>890</v>
      </c>
    </row>
    <row r="59" spans="1:7">
      <c r="A59" t="s">
        <v>103</v>
      </c>
      <c r="B59" s="2">
        <v>46278</v>
      </c>
      <c r="C59" t="s">
        <v>104</v>
      </c>
      <c r="D59" s="5">
        <v>22</v>
      </c>
      <c r="E59" t="s">
        <v>9</v>
      </c>
      <c r="F59" t="s">
        <v>13</v>
      </c>
      <c r="G59" s="3">
        <v>1200</v>
      </c>
    </row>
    <row r="60" spans="1:7">
      <c r="A60" t="s">
        <v>105</v>
      </c>
      <c r="B60" s="2">
        <v>46216</v>
      </c>
      <c r="C60" t="s">
        <v>60</v>
      </c>
      <c r="D60" s="5">
        <v>21</v>
      </c>
      <c r="E60" t="s">
        <v>9</v>
      </c>
      <c r="F60" t="s">
        <v>13</v>
      </c>
      <c r="G60" s="3">
        <v>1500</v>
      </c>
    </row>
    <row r="61" spans="1:7">
      <c r="A61" t="s">
        <v>106</v>
      </c>
      <c r="B61" s="2">
        <v>46279</v>
      </c>
      <c r="C61" t="s">
        <v>107</v>
      </c>
      <c r="D61" s="5">
        <v>26</v>
      </c>
      <c r="E61" t="s">
        <v>9</v>
      </c>
      <c r="F61" t="s">
        <v>13</v>
      </c>
      <c r="G61" s="3">
        <v>560</v>
      </c>
    </row>
    <row r="62" spans="1:7">
      <c r="A62" t="s">
        <v>108</v>
      </c>
      <c r="B62" s="2">
        <v>46215</v>
      </c>
      <c r="C62" t="s">
        <v>54</v>
      </c>
      <c r="D62" s="5">
        <v>27</v>
      </c>
      <c r="E62" t="s">
        <v>9</v>
      </c>
      <c r="F62" t="s">
        <v>10</v>
      </c>
      <c r="G62" s="3">
        <v>1330</v>
      </c>
    </row>
    <row r="63" spans="1:7">
      <c r="A63" t="s">
        <v>109</v>
      </c>
      <c r="B63" s="2">
        <v>46271</v>
      </c>
      <c r="C63" t="s">
        <v>94</v>
      </c>
      <c r="D63" s="5">
        <v>6</v>
      </c>
      <c r="E63" t="s">
        <v>9</v>
      </c>
      <c r="F63" t="s">
        <v>13</v>
      </c>
      <c r="G63" s="3">
        <v>560</v>
      </c>
    </row>
    <row r="64" spans="1:7">
      <c r="A64" t="s">
        <v>110</v>
      </c>
      <c r="B64" s="2">
        <v>46204</v>
      </c>
      <c r="C64" t="s">
        <v>64</v>
      </c>
      <c r="D64" s="5">
        <v>7</v>
      </c>
      <c r="E64" t="s">
        <v>9</v>
      </c>
      <c r="F64" t="s">
        <v>23</v>
      </c>
      <c r="G64" s="3">
        <v>2230</v>
      </c>
    </row>
    <row r="65" spans="1:7">
      <c r="A65" t="s">
        <v>111</v>
      </c>
      <c r="B65" s="2">
        <v>46280</v>
      </c>
      <c r="C65" t="s">
        <v>77</v>
      </c>
      <c r="D65" s="5">
        <v>17</v>
      </c>
      <c r="E65" t="s">
        <v>9</v>
      </c>
      <c r="F65" t="s">
        <v>13</v>
      </c>
      <c r="G65" s="3">
        <v>1380</v>
      </c>
    </row>
    <row r="66" spans="1:7">
      <c r="A66" t="s">
        <v>112</v>
      </c>
      <c r="B66" s="2">
        <v>46275</v>
      </c>
      <c r="C66" t="s">
        <v>64</v>
      </c>
      <c r="D66" s="5">
        <v>19</v>
      </c>
      <c r="E66" t="s">
        <v>9</v>
      </c>
      <c r="F66" t="s">
        <v>23</v>
      </c>
      <c r="G66" s="3">
        <v>2230</v>
      </c>
    </row>
    <row r="67" spans="1:7">
      <c r="A67" t="s">
        <v>113</v>
      </c>
      <c r="B67" s="2">
        <v>46294</v>
      </c>
      <c r="C67" t="s">
        <v>36</v>
      </c>
      <c r="D67" s="5">
        <v>25</v>
      </c>
      <c r="E67" t="s">
        <v>9</v>
      </c>
      <c r="F67" t="s">
        <v>10</v>
      </c>
      <c r="G67" s="3">
        <v>2320</v>
      </c>
    </row>
    <row r="68" spans="1:7">
      <c r="A68" t="s">
        <v>114</v>
      </c>
      <c r="B68" s="2">
        <v>46226</v>
      </c>
      <c r="C68" t="s">
        <v>71</v>
      </c>
      <c r="D68" s="5">
        <v>16</v>
      </c>
      <c r="E68" t="s">
        <v>9</v>
      </c>
      <c r="F68" t="s">
        <v>10</v>
      </c>
      <c r="G68" s="3">
        <v>1320</v>
      </c>
    </row>
    <row r="69" spans="1:7">
      <c r="A69" t="s">
        <v>115</v>
      </c>
      <c r="B69" s="2">
        <v>46291</v>
      </c>
      <c r="C69" t="s">
        <v>66</v>
      </c>
      <c r="D69" s="5">
        <v>21</v>
      </c>
      <c r="E69" t="s">
        <v>9</v>
      </c>
      <c r="F69" t="s">
        <v>13</v>
      </c>
      <c r="G69" s="3">
        <v>890</v>
      </c>
    </row>
    <row r="70" spans="1:7">
      <c r="A70" t="s">
        <v>116</v>
      </c>
      <c r="B70" s="2">
        <v>46212</v>
      </c>
      <c r="C70" t="s">
        <v>117</v>
      </c>
      <c r="D70" s="5">
        <v>30</v>
      </c>
      <c r="E70" t="s">
        <v>9</v>
      </c>
      <c r="F70" t="s">
        <v>13</v>
      </c>
      <c r="G70" s="3">
        <v>1650</v>
      </c>
    </row>
    <row r="71" spans="1:7">
      <c r="A71" t="s">
        <v>118</v>
      </c>
      <c r="B71" s="2">
        <v>46216</v>
      </c>
      <c r="C71" t="s">
        <v>36</v>
      </c>
      <c r="D71" s="5">
        <v>16</v>
      </c>
      <c r="E71" t="s">
        <v>9</v>
      </c>
      <c r="F71" t="s">
        <v>10</v>
      </c>
      <c r="G71" s="3">
        <v>2320</v>
      </c>
    </row>
    <row r="72" spans="1:7">
      <c r="A72" t="s">
        <v>119</v>
      </c>
      <c r="B72" s="2">
        <v>46293</v>
      </c>
      <c r="C72" t="s">
        <v>19</v>
      </c>
      <c r="D72" s="5">
        <v>4</v>
      </c>
      <c r="E72" t="s">
        <v>9</v>
      </c>
      <c r="F72" t="s">
        <v>13</v>
      </c>
      <c r="G72" s="3">
        <v>1440</v>
      </c>
    </row>
    <row r="73" spans="1:7">
      <c r="A73" t="s">
        <v>120</v>
      </c>
      <c r="B73" s="2">
        <v>46277</v>
      </c>
      <c r="C73" t="s">
        <v>121</v>
      </c>
      <c r="D73" s="5">
        <v>24</v>
      </c>
      <c r="E73" t="s">
        <v>9</v>
      </c>
      <c r="F73" t="s">
        <v>13</v>
      </c>
      <c r="G73" s="3">
        <v>1320</v>
      </c>
    </row>
    <row r="74" spans="1:7">
      <c r="A74" t="s">
        <v>122</v>
      </c>
      <c r="B74" s="2">
        <v>46279</v>
      </c>
      <c r="C74" t="s">
        <v>123</v>
      </c>
      <c r="D74" s="5">
        <v>19</v>
      </c>
      <c r="E74" t="s">
        <v>9</v>
      </c>
      <c r="F74" t="s">
        <v>10</v>
      </c>
      <c r="G74" s="3">
        <v>1120</v>
      </c>
    </row>
    <row r="75" spans="1:7">
      <c r="A75" t="s">
        <v>124</v>
      </c>
      <c r="B75" s="2">
        <v>46294</v>
      </c>
      <c r="C75" t="s">
        <v>56</v>
      </c>
      <c r="D75" s="5">
        <v>16</v>
      </c>
      <c r="E75" t="s">
        <v>9</v>
      </c>
      <c r="F75" t="s">
        <v>13</v>
      </c>
      <c r="G75" s="3">
        <v>2100</v>
      </c>
    </row>
    <row r="76" spans="1:7">
      <c r="A76" t="s">
        <v>125</v>
      </c>
      <c r="B76" s="2">
        <v>46221</v>
      </c>
      <c r="C76" t="s">
        <v>47</v>
      </c>
      <c r="D76" s="5">
        <v>20</v>
      </c>
      <c r="E76" t="s">
        <v>9</v>
      </c>
      <c r="F76" t="s">
        <v>13</v>
      </c>
      <c r="G76" s="3">
        <v>1800</v>
      </c>
    </row>
    <row r="77" spans="1:7">
      <c r="A77" t="s">
        <v>126</v>
      </c>
      <c r="B77" s="2">
        <v>46264</v>
      </c>
      <c r="C77" t="s">
        <v>73</v>
      </c>
      <c r="D77" s="5">
        <v>27</v>
      </c>
      <c r="E77" t="s">
        <v>9</v>
      </c>
      <c r="F77" t="s">
        <v>13</v>
      </c>
      <c r="G77" s="3">
        <v>1095</v>
      </c>
    </row>
    <row r="78" spans="1:7">
      <c r="A78" t="s">
        <v>127</v>
      </c>
      <c r="B78" s="2">
        <v>46216</v>
      </c>
      <c r="C78" t="s">
        <v>47</v>
      </c>
      <c r="D78" s="5">
        <v>6</v>
      </c>
      <c r="E78" t="s">
        <v>9</v>
      </c>
      <c r="F78" t="s">
        <v>13</v>
      </c>
      <c r="G78" s="3">
        <v>1800</v>
      </c>
    </row>
    <row r="79" spans="1:7">
      <c r="A79" t="s">
        <v>128</v>
      </c>
      <c r="B79" s="2">
        <v>46267</v>
      </c>
      <c r="C79" t="s">
        <v>73</v>
      </c>
      <c r="D79" s="5">
        <v>30</v>
      </c>
      <c r="E79" t="s">
        <v>9</v>
      </c>
      <c r="F79" t="s">
        <v>13</v>
      </c>
      <c r="G79" s="3">
        <v>1120</v>
      </c>
    </row>
    <row r="80" spans="1:7">
      <c r="A80" t="s">
        <v>129</v>
      </c>
      <c r="B80" s="2">
        <v>46246</v>
      </c>
      <c r="C80" t="s">
        <v>54</v>
      </c>
      <c r="D80" s="5">
        <v>22</v>
      </c>
      <c r="E80" t="s">
        <v>9</v>
      </c>
      <c r="F80" t="s">
        <v>10</v>
      </c>
      <c r="G80" s="3">
        <v>1330</v>
      </c>
    </row>
    <row r="81" spans="1:7">
      <c r="A81" t="s">
        <v>130</v>
      </c>
      <c r="B81" s="2">
        <v>46213</v>
      </c>
      <c r="C81" t="s">
        <v>117</v>
      </c>
      <c r="D81" s="5">
        <v>25</v>
      </c>
      <c r="E81" t="s">
        <v>9</v>
      </c>
      <c r="F81" t="s">
        <v>13</v>
      </c>
      <c r="G81" s="3">
        <v>1675</v>
      </c>
    </row>
    <row r="82" spans="1:7">
      <c r="A82" t="s">
        <v>131</v>
      </c>
      <c r="B82" s="2">
        <v>46207</v>
      </c>
      <c r="C82" t="s">
        <v>47</v>
      </c>
      <c r="D82" s="5">
        <v>26</v>
      </c>
      <c r="E82" t="s">
        <v>9</v>
      </c>
      <c r="F82" t="s">
        <v>13</v>
      </c>
      <c r="G82" s="3">
        <v>1800</v>
      </c>
    </row>
    <row r="83" spans="1:7">
      <c r="A83" t="s">
        <v>132</v>
      </c>
      <c r="B83" s="2">
        <v>46262</v>
      </c>
      <c r="C83" t="s">
        <v>133</v>
      </c>
      <c r="D83" s="5">
        <v>19</v>
      </c>
      <c r="E83" t="s">
        <v>9</v>
      </c>
      <c r="F83" t="s">
        <v>13</v>
      </c>
      <c r="G83" s="3">
        <v>1450</v>
      </c>
    </row>
    <row r="84" spans="1:7">
      <c r="A84" t="s">
        <v>134</v>
      </c>
      <c r="B84" s="2">
        <v>46269</v>
      </c>
      <c r="C84" t="s">
        <v>135</v>
      </c>
      <c r="D84" s="5">
        <v>10</v>
      </c>
      <c r="E84" t="s">
        <v>9</v>
      </c>
      <c r="F84" t="s">
        <v>13</v>
      </c>
      <c r="G84" s="3">
        <v>1370</v>
      </c>
    </row>
    <row r="85" spans="1:7">
      <c r="A85" t="s">
        <v>136</v>
      </c>
      <c r="B85" s="2">
        <v>46235</v>
      </c>
      <c r="C85" t="s">
        <v>54</v>
      </c>
      <c r="D85" s="5">
        <v>4</v>
      </c>
      <c r="E85" t="s">
        <v>9</v>
      </c>
      <c r="F85" t="s">
        <v>10</v>
      </c>
      <c r="G85" s="3">
        <v>1330</v>
      </c>
    </row>
    <row r="86" spans="1:7">
      <c r="A86" t="s">
        <v>137</v>
      </c>
      <c r="B86" s="2">
        <v>46219</v>
      </c>
      <c r="C86" t="s">
        <v>27</v>
      </c>
      <c r="D86" s="5">
        <v>12</v>
      </c>
      <c r="E86" t="s">
        <v>9</v>
      </c>
      <c r="F86" t="s">
        <v>10</v>
      </c>
      <c r="G86" s="3">
        <v>1110</v>
      </c>
    </row>
    <row r="87" spans="1:7">
      <c r="A87" t="s">
        <v>138</v>
      </c>
      <c r="B87" s="2">
        <v>46254</v>
      </c>
      <c r="C87" t="s">
        <v>94</v>
      </c>
      <c r="D87" s="5">
        <v>25</v>
      </c>
      <c r="E87" t="s">
        <v>9</v>
      </c>
      <c r="F87" t="s">
        <v>13</v>
      </c>
      <c r="G87" s="3">
        <v>560</v>
      </c>
    </row>
    <row r="88" spans="1:7">
      <c r="A88" t="s">
        <v>139</v>
      </c>
      <c r="B88" s="2">
        <v>46253</v>
      </c>
      <c r="C88" t="s">
        <v>73</v>
      </c>
      <c r="D88" s="5">
        <v>28</v>
      </c>
      <c r="E88" t="s">
        <v>9</v>
      </c>
      <c r="F88" t="s">
        <v>13</v>
      </c>
      <c r="G88" s="3">
        <v>1120</v>
      </c>
    </row>
    <row r="89" spans="1:7">
      <c r="A89" t="s">
        <v>140</v>
      </c>
      <c r="B89" s="2">
        <v>46288</v>
      </c>
      <c r="C89" t="s">
        <v>71</v>
      </c>
      <c r="D89" s="5">
        <v>22</v>
      </c>
      <c r="E89" t="s">
        <v>9</v>
      </c>
      <c r="F89" t="s">
        <v>10</v>
      </c>
      <c r="G89" s="3">
        <v>1320</v>
      </c>
    </row>
    <row r="90" spans="1:7">
      <c r="A90" t="s">
        <v>141</v>
      </c>
      <c r="B90" s="2">
        <v>46290</v>
      </c>
      <c r="C90" t="s">
        <v>36</v>
      </c>
      <c r="D90" s="5">
        <v>23</v>
      </c>
      <c r="E90" t="s">
        <v>9</v>
      </c>
      <c r="F90" t="s">
        <v>10</v>
      </c>
      <c r="G90" s="3">
        <v>2320</v>
      </c>
    </row>
    <row r="91" spans="1:7">
      <c r="A91" t="s">
        <v>142</v>
      </c>
      <c r="B91" s="2">
        <v>46207</v>
      </c>
      <c r="C91" t="s">
        <v>143</v>
      </c>
      <c r="D91" s="5">
        <v>10</v>
      </c>
      <c r="E91" t="s">
        <v>9</v>
      </c>
      <c r="F91" t="s">
        <v>10</v>
      </c>
      <c r="G91" s="3">
        <v>2260</v>
      </c>
    </row>
    <row r="92" spans="1:7">
      <c r="A92" t="s">
        <v>144</v>
      </c>
      <c r="B92" s="2">
        <v>46284</v>
      </c>
      <c r="C92" t="s">
        <v>71</v>
      </c>
      <c r="D92" s="5">
        <v>26</v>
      </c>
      <c r="E92" t="s">
        <v>9</v>
      </c>
      <c r="F92" t="s">
        <v>10</v>
      </c>
      <c r="G92" s="3">
        <v>1320</v>
      </c>
    </row>
    <row r="93" spans="1:7">
      <c r="A93" t="s">
        <v>145</v>
      </c>
      <c r="B93" s="2">
        <v>46269</v>
      </c>
      <c r="C93" t="s">
        <v>104</v>
      </c>
      <c r="D93" s="5">
        <v>20</v>
      </c>
      <c r="E93" t="s">
        <v>9</v>
      </c>
      <c r="F93" t="s">
        <v>13</v>
      </c>
      <c r="G93" s="3">
        <v>1200</v>
      </c>
    </row>
    <row r="94" spans="1:7">
      <c r="A94" t="s">
        <v>146</v>
      </c>
      <c r="B94" s="2">
        <v>46283</v>
      </c>
      <c r="C94" t="s">
        <v>36</v>
      </c>
      <c r="D94" s="5">
        <v>21</v>
      </c>
      <c r="E94" t="s">
        <v>9</v>
      </c>
      <c r="F94" t="s">
        <v>10</v>
      </c>
      <c r="G94" s="3">
        <v>2320</v>
      </c>
    </row>
    <row r="95" spans="1:7">
      <c r="A95" t="s">
        <v>147</v>
      </c>
      <c r="B95" s="2">
        <v>46256</v>
      </c>
      <c r="C95" t="s">
        <v>121</v>
      </c>
      <c r="D95" s="5">
        <v>16</v>
      </c>
      <c r="E95" t="s">
        <v>9</v>
      </c>
      <c r="F95" t="s">
        <v>13</v>
      </c>
      <c r="G95" s="3">
        <v>1320</v>
      </c>
    </row>
    <row r="96" spans="1:7">
      <c r="A96" t="s">
        <v>148</v>
      </c>
      <c r="B96" s="2">
        <v>46278</v>
      </c>
      <c r="C96" t="s">
        <v>22</v>
      </c>
      <c r="D96" s="5">
        <v>24</v>
      </c>
      <c r="E96" t="s">
        <v>9</v>
      </c>
      <c r="F96" t="s">
        <v>23</v>
      </c>
      <c r="G96" s="3">
        <v>1410</v>
      </c>
    </row>
    <row r="97" spans="1:7">
      <c r="A97" t="s">
        <v>149</v>
      </c>
      <c r="B97" s="2">
        <v>46221</v>
      </c>
      <c r="C97" t="s">
        <v>91</v>
      </c>
      <c r="D97" s="5">
        <v>9</v>
      </c>
      <c r="E97" t="s">
        <v>9</v>
      </c>
      <c r="F97" t="s">
        <v>13</v>
      </c>
      <c r="G97" s="3">
        <v>550</v>
      </c>
    </row>
    <row r="98" spans="1:7">
      <c r="A98" t="s">
        <v>150</v>
      </c>
      <c r="B98" s="2">
        <v>46213</v>
      </c>
      <c r="C98" t="s">
        <v>94</v>
      </c>
      <c r="D98" s="5">
        <v>29</v>
      </c>
      <c r="E98" t="s">
        <v>9</v>
      </c>
      <c r="F98" t="s">
        <v>13</v>
      </c>
      <c r="G98" s="3">
        <v>560</v>
      </c>
    </row>
    <row r="99" spans="1:7">
      <c r="A99" t="s">
        <v>151</v>
      </c>
      <c r="B99" s="2">
        <v>46294</v>
      </c>
      <c r="C99" t="s">
        <v>152</v>
      </c>
      <c r="D99" s="5">
        <v>17</v>
      </c>
      <c r="E99" t="s">
        <v>9</v>
      </c>
      <c r="F99" t="s">
        <v>13</v>
      </c>
      <c r="G99" s="3">
        <v>1700</v>
      </c>
    </row>
    <row r="100" spans="1:7">
      <c r="A100" t="s">
        <v>153</v>
      </c>
      <c r="B100" s="2">
        <v>46286</v>
      </c>
      <c r="C100" t="s">
        <v>29</v>
      </c>
      <c r="D100" s="5">
        <v>9</v>
      </c>
      <c r="E100" t="s">
        <v>154</v>
      </c>
      <c r="F100" t="s">
        <v>13</v>
      </c>
      <c r="G100" s="3">
        <v>860</v>
      </c>
    </row>
    <row r="101" spans="1:7">
      <c r="A101" t="s">
        <v>155</v>
      </c>
      <c r="B101" s="2">
        <v>46270</v>
      </c>
      <c r="C101" t="s">
        <v>12</v>
      </c>
      <c r="D101" s="5">
        <v>15</v>
      </c>
      <c r="E101" t="s">
        <v>154</v>
      </c>
      <c r="F101" t="s">
        <v>13</v>
      </c>
      <c r="G101" s="3">
        <v>1380</v>
      </c>
    </row>
    <row r="102" spans="1:7">
      <c r="A102" t="s">
        <v>156</v>
      </c>
      <c r="B102" s="2">
        <v>46212</v>
      </c>
      <c r="C102" t="s">
        <v>71</v>
      </c>
      <c r="D102" s="5">
        <v>25</v>
      </c>
      <c r="E102" t="s">
        <v>154</v>
      </c>
      <c r="F102" t="s">
        <v>10</v>
      </c>
      <c r="G102" s="3">
        <v>1320</v>
      </c>
    </row>
    <row r="103" spans="1:7">
      <c r="A103" t="s">
        <v>157</v>
      </c>
      <c r="B103" s="2">
        <v>46244</v>
      </c>
      <c r="C103" t="s">
        <v>8</v>
      </c>
      <c r="D103" s="5">
        <v>6</v>
      </c>
      <c r="E103" t="s">
        <v>154</v>
      </c>
      <c r="F103" t="s">
        <v>10</v>
      </c>
      <c r="G103" s="3">
        <v>630</v>
      </c>
    </row>
    <row r="104" spans="1:7">
      <c r="A104" t="s">
        <v>158</v>
      </c>
      <c r="B104" s="2">
        <v>46222</v>
      </c>
      <c r="C104" t="s">
        <v>133</v>
      </c>
      <c r="D104" s="5">
        <v>23</v>
      </c>
      <c r="E104" t="s">
        <v>154</v>
      </c>
      <c r="F104" t="s">
        <v>13</v>
      </c>
      <c r="G104" s="3">
        <v>1475</v>
      </c>
    </row>
    <row r="105" spans="1:7">
      <c r="A105" t="s">
        <v>159</v>
      </c>
      <c r="B105" s="2">
        <v>46277</v>
      </c>
      <c r="C105" t="s">
        <v>58</v>
      </c>
      <c r="D105" s="5">
        <v>20</v>
      </c>
      <c r="E105" t="s">
        <v>154</v>
      </c>
      <c r="F105" t="s">
        <v>10</v>
      </c>
      <c r="G105" s="3">
        <v>870</v>
      </c>
    </row>
    <row r="106" spans="1:7">
      <c r="A106" t="s">
        <v>160</v>
      </c>
      <c r="B106" s="2">
        <v>46284</v>
      </c>
      <c r="C106" t="s">
        <v>161</v>
      </c>
      <c r="D106" s="5">
        <v>19</v>
      </c>
      <c r="E106" t="s">
        <v>154</v>
      </c>
      <c r="F106" t="s">
        <v>13</v>
      </c>
      <c r="G106" s="3">
        <v>1760</v>
      </c>
    </row>
    <row r="107" spans="1:7">
      <c r="A107" t="s">
        <v>162</v>
      </c>
      <c r="B107" s="2">
        <v>46228</v>
      </c>
      <c r="C107" t="s">
        <v>40</v>
      </c>
      <c r="D107" s="5">
        <v>15</v>
      </c>
      <c r="E107" t="s">
        <v>154</v>
      </c>
      <c r="F107" t="s">
        <v>23</v>
      </c>
      <c r="G107" s="3">
        <v>790</v>
      </c>
    </row>
    <row r="108" spans="1:7">
      <c r="A108" t="s">
        <v>163</v>
      </c>
      <c r="B108" s="2">
        <v>46225</v>
      </c>
      <c r="C108" t="s">
        <v>34</v>
      </c>
      <c r="D108" s="5">
        <v>14</v>
      </c>
      <c r="E108" t="s">
        <v>154</v>
      </c>
      <c r="F108" t="s">
        <v>10</v>
      </c>
      <c r="G108" s="3">
        <v>1560</v>
      </c>
    </row>
    <row r="109" spans="1:7">
      <c r="A109" t="s">
        <v>164</v>
      </c>
      <c r="B109" s="2">
        <v>46286</v>
      </c>
      <c r="C109" t="s">
        <v>15</v>
      </c>
      <c r="D109" s="5">
        <v>26</v>
      </c>
      <c r="E109" t="s">
        <v>154</v>
      </c>
      <c r="F109" t="s">
        <v>13</v>
      </c>
      <c r="G109" s="3">
        <v>1450</v>
      </c>
    </row>
    <row r="110" spans="1:7">
      <c r="A110" t="s">
        <v>165</v>
      </c>
      <c r="B110" s="2">
        <v>46272</v>
      </c>
      <c r="C110" t="s">
        <v>166</v>
      </c>
      <c r="D110" s="5">
        <v>24</v>
      </c>
      <c r="E110" t="s">
        <v>154</v>
      </c>
      <c r="F110" t="s">
        <v>10</v>
      </c>
      <c r="G110" s="3">
        <v>1450</v>
      </c>
    </row>
    <row r="111" spans="1:7">
      <c r="A111" t="s">
        <v>167</v>
      </c>
      <c r="B111" s="2">
        <v>46257</v>
      </c>
      <c r="C111" t="s">
        <v>94</v>
      </c>
      <c r="D111" s="5">
        <v>25</v>
      </c>
      <c r="E111" t="s">
        <v>154</v>
      </c>
      <c r="F111" t="s">
        <v>13</v>
      </c>
      <c r="G111" s="3">
        <v>560</v>
      </c>
    </row>
    <row r="112" spans="1:7">
      <c r="A112" t="s">
        <v>168</v>
      </c>
      <c r="B112" s="2">
        <v>46269</v>
      </c>
      <c r="C112" t="s">
        <v>19</v>
      </c>
      <c r="D112" s="5">
        <v>17</v>
      </c>
      <c r="E112" t="s">
        <v>154</v>
      </c>
      <c r="F112" t="s">
        <v>13</v>
      </c>
      <c r="G112" s="3">
        <v>1440</v>
      </c>
    </row>
    <row r="113" spans="1:7">
      <c r="A113" t="s">
        <v>169</v>
      </c>
      <c r="B113" s="2">
        <v>46253</v>
      </c>
      <c r="C113" t="s">
        <v>58</v>
      </c>
      <c r="D113" s="5">
        <v>16</v>
      </c>
      <c r="E113" t="s">
        <v>154</v>
      </c>
      <c r="F113" t="s">
        <v>10</v>
      </c>
      <c r="G113" s="3">
        <v>870</v>
      </c>
    </row>
    <row r="114" spans="1:7">
      <c r="A114" t="s">
        <v>170</v>
      </c>
      <c r="B114" s="2">
        <v>46260</v>
      </c>
      <c r="C114" t="s">
        <v>54</v>
      </c>
      <c r="D114" s="5">
        <v>9</v>
      </c>
      <c r="E114" t="s">
        <v>154</v>
      </c>
      <c r="F114" t="s">
        <v>10</v>
      </c>
      <c r="G114" s="3">
        <v>1330</v>
      </c>
    </row>
    <row r="115" spans="1:7">
      <c r="A115" t="s">
        <v>171</v>
      </c>
      <c r="B115" s="2">
        <v>46281</v>
      </c>
      <c r="C115" t="s">
        <v>19</v>
      </c>
      <c r="D115" s="5">
        <v>22</v>
      </c>
      <c r="E115" t="s">
        <v>154</v>
      </c>
      <c r="F115" t="s">
        <v>13</v>
      </c>
      <c r="G115" s="3">
        <v>1440</v>
      </c>
    </row>
    <row r="116" spans="1:7">
      <c r="A116" t="s">
        <v>172</v>
      </c>
      <c r="B116" s="2">
        <v>46292</v>
      </c>
      <c r="C116" t="s">
        <v>79</v>
      </c>
      <c r="D116" s="5">
        <v>4</v>
      </c>
      <c r="E116" t="s">
        <v>154</v>
      </c>
      <c r="F116" t="s">
        <v>10</v>
      </c>
      <c r="G116" s="3">
        <v>1300</v>
      </c>
    </row>
    <row r="117" spans="1:7">
      <c r="A117" t="s">
        <v>173</v>
      </c>
      <c r="B117" s="2">
        <v>46250</v>
      </c>
      <c r="C117" t="s">
        <v>45</v>
      </c>
      <c r="D117" s="5">
        <v>21</v>
      </c>
      <c r="E117" t="s">
        <v>154</v>
      </c>
      <c r="F117" t="s">
        <v>13</v>
      </c>
      <c r="G117" s="3">
        <v>1860</v>
      </c>
    </row>
    <row r="118" spans="1:7">
      <c r="A118" t="s">
        <v>174</v>
      </c>
      <c r="B118" s="2">
        <v>46239</v>
      </c>
      <c r="C118" t="s">
        <v>71</v>
      </c>
      <c r="D118" s="5">
        <v>7</v>
      </c>
      <c r="E118" t="s">
        <v>154</v>
      </c>
      <c r="F118" t="s">
        <v>10</v>
      </c>
      <c r="G118" s="3">
        <v>1320</v>
      </c>
    </row>
    <row r="119" spans="1:7">
      <c r="A119" t="s">
        <v>175</v>
      </c>
      <c r="B119" s="2">
        <v>46257</v>
      </c>
      <c r="C119" t="s">
        <v>104</v>
      </c>
      <c r="D119" s="5">
        <v>15</v>
      </c>
      <c r="E119" t="s">
        <v>154</v>
      </c>
      <c r="F119" t="s">
        <v>13</v>
      </c>
      <c r="G119" s="3">
        <v>1200</v>
      </c>
    </row>
    <row r="120" spans="1:7">
      <c r="A120" t="s">
        <v>176</v>
      </c>
      <c r="B120" s="2">
        <v>46220</v>
      </c>
      <c r="C120" t="s">
        <v>73</v>
      </c>
      <c r="D120" s="5">
        <v>7</v>
      </c>
      <c r="E120" t="s">
        <v>154</v>
      </c>
      <c r="F120" t="s">
        <v>13</v>
      </c>
      <c r="G120" s="3">
        <v>1120</v>
      </c>
    </row>
    <row r="121" spans="1:7">
      <c r="A121" t="s">
        <v>177</v>
      </c>
      <c r="B121" s="2">
        <v>46288</v>
      </c>
      <c r="C121" t="s">
        <v>64</v>
      </c>
      <c r="D121" s="5">
        <v>12</v>
      </c>
      <c r="E121" t="s">
        <v>154</v>
      </c>
      <c r="F121" t="s">
        <v>23</v>
      </c>
      <c r="G121" s="3">
        <v>2230</v>
      </c>
    </row>
    <row r="122" spans="1:7">
      <c r="A122" t="s">
        <v>178</v>
      </c>
      <c r="B122" s="2">
        <v>46258</v>
      </c>
      <c r="C122" t="s">
        <v>66</v>
      </c>
      <c r="D122" s="5">
        <v>20</v>
      </c>
      <c r="E122" t="s">
        <v>154</v>
      </c>
      <c r="F122" t="s">
        <v>13</v>
      </c>
      <c r="G122" s="3">
        <v>890</v>
      </c>
    </row>
    <row r="123" spans="1:7">
      <c r="A123" t="s">
        <v>179</v>
      </c>
      <c r="B123" s="2">
        <v>46280</v>
      </c>
      <c r="C123" t="s">
        <v>77</v>
      </c>
      <c r="D123" s="5">
        <v>15</v>
      </c>
      <c r="E123" t="s">
        <v>154</v>
      </c>
      <c r="F123" t="s">
        <v>13</v>
      </c>
      <c r="G123" s="3">
        <v>1380</v>
      </c>
    </row>
    <row r="124" spans="1:7">
      <c r="A124" t="s">
        <v>180</v>
      </c>
      <c r="B124" s="2">
        <v>46279</v>
      </c>
      <c r="C124" t="s">
        <v>107</v>
      </c>
      <c r="D124" s="5">
        <v>6</v>
      </c>
      <c r="E124" t="s">
        <v>154</v>
      </c>
      <c r="F124" t="s">
        <v>13</v>
      </c>
      <c r="G124" s="3">
        <v>560</v>
      </c>
    </row>
    <row r="125" spans="1:7">
      <c r="A125" t="s">
        <v>181</v>
      </c>
      <c r="B125" s="2">
        <v>46252</v>
      </c>
      <c r="C125" t="s">
        <v>73</v>
      </c>
      <c r="D125" s="5">
        <v>9</v>
      </c>
      <c r="E125" t="s">
        <v>154</v>
      </c>
      <c r="F125" t="s">
        <v>13</v>
      </c>
      <c r="G125" s="3">
        <v>1120</v>
      </c>
    </row>
    <row r="126" spans="1:7">
      <c r="A126" t="s">
        <v>182</v>
      </c>
      <c r="B126" s="2">
        <v>46213</v>
      </c>
      <c r="C126" t="s">
        <v>19</v>
      </c>
      <c r="D126" s="5">
        <v>23</v>
      </c>
      <c r="E126" t="s">
        <v>154</v>
      </c>
      <c r="F126" t="s">
        <v>13</v>
      </c>
      <c r="G126" s="3">
        <v>1440</v>
      </c>
    </row>
    <row r="127" spans="1:7">
      <c r="A127" t="s">
        <v>183</v>
      </c>
      <c r="B127" s="2">
        <v>46221</v>
      </c>
      <c r="C127" t="s">
        <v>56</v>
      </c>
      <c r="D127" s="5">
        <v>22</v>
      </c>
      <c r="E127" t="s">
        <v>154</v>
      </c>
      <c r="F127" t="s">
        <v>13</v>
      </c>
      <c r="G127" s="3">
        <v>2100</v>
      </c>
    </row>
    <row r="128" spans="1:7">
      <c r="A128" t="s">
        <v>184</v>
      </c>
      <c r="B128" s="2">
        <v>46210</v>
      </c>
      <c r="C128" t="s">
        <v>45</v>
      </c>
      <c r="D128" s="5">
        <v>13</v>
      </c>
      <c r="E128" t="s">
        <v>154</v>
      </c>
      <c r="F128" t="s">
        <v>13</v>
      </c>
      <c r="G128" s="3">
        <v>1860</v>
      </c>
    </row>
    <row r="129" spans="1:7">
      <c r="A129" t="s">
        <v>185</v>
      </c>
      <c r="B129" s="2">
        <v>46238</v>
      </c>
      <c r="C129" t="s">
        <v>101</v>
      </c>
      <c r="D129" s="5">
        <v>11</v>
      </c>
      <c r="E129" t="s">
        <v>154</v>
      </c>
      <c r="F129" t="s">
        <v>13</v>
      </c>
      <c r="G129" s="3">
        <v>640</v>
      </c>
    </row>
    <row r="130" spans="1:7">
      <c r="A130" t="s">
        <v>186</v>
      </c>
      <c r="B130" s="2">
        <v>46223</v>
      </c>
      <c r="C130" t="s">
        <v>73</v>
      </c>
      <c r="D130" s="5">
        <v>16</v>
      </c>
      <c r="E130" t="s">
        <v>154</v>
      </c>
      <c r="F130" t="s">
        <v>13</v>
      </c>
      <c r="G130" s="3">
        <v>1120</v>
      </c>
    </row>
    <row r="131" spans="1:7">
      <c r="A131" t="s">
        <v>187</v>
      </c>
      <c r="B131" s="2">
        <v>46240</v>
      </c>
      <c r="C131" t="s">
        <v>56</v>
      </c>
      <c r="D131" s="5">
        <v>22</v>
      </c>
      <c r="E131" t="s">
        <v>154</v>
      </c>
      <c r="F131" t="s">
        <v>13</v>
      </c>
      <c r="G131" s="3">
        <v>2100</v>
      </c>
    </row>
    <row r="132" spans="1:7">
      <c r="A132" t="s">
        <v>188</v>
      </c>
      <c r="B132" s="2">
        <v>46229</v>
      </c>
      <c r="C132" t="s">
        <v>19</v>
      </c>
      <c r="D132" s="5">
        <v>29</v>
      </c>
      <c r="E132" t="s">
        <v>154</v>
      </c>
      <c r="F132" t="s">
        <v>13</v>
      </c>
      <c r="G132" s="3">
        <v>1440</v>
      </c>
    </row>
    <row r="133" spans="1:7">
      <c r="A133" t="s">
        <v>189</v>
      </c>
      <c r="B133" s="2">
        <v>46228</v>
      </c>
      <c r="C133" t="s">
        <v>94</v>
      </c>
      <c r="D133" s="5">
        <v>8</v>
      </c>
      <c r="E133" t="s">
        <v>154</v>
      </c>
      <c r="F133" t="s">
        <v>13</v>
      </c>
      <c r="G133" s="3">
        <v>560</v>
      </c>
    </row>
    <row r="134" spans="1:7">
      <c r="A134" t="s">
        <v>190</v>
      </c>
      <c r="B134" s="2">
        <v>46255</v>
      </c>
      <c r="C134" t="s">
        <v>79</v>
      </c>
      <c r="D134" s="5">
        <v>13</v>
      </c>
      <c r="E134" t="s">
        <v>154</v>
      </c>
      <c r="F134" t="s">
        <v>10</v>
      </c>
      <c r="G134" s="3">
        <v>1300</v>
      </c>
    </row>
    <row r="135" spans="1:7">
      <c r="A135" t="s">
        <v>191</v>
      </c>
      <c r="B135" s="2">
        <v>46276</v>
      </c>
      <c r="C135" t="s">
        <v>15</v>
      </c>
      <c r="D135" s="5">
        <v>8</v>
      </c>
      <c r="E135" t="s">
        <v>154</v>
      </c>
      <c r="F135" t="s">
        <v>13</v>
      </c>
      <c r="G135" s="3">
        <v>1450</v>
      </c>
    </row>
    <row r="136" spans="1:7">
      <c r="A136" t="s">
        <v>192</v>
      </c>
      <c r="B136" s="2">
        <v>46243</v>
      </c>
      <c r="C136" t="s">
        <v>54</v>
      </c>
      <c r="D136" s="5">
        <v>30</v>
      </c>
      <c r="E136" t="s">
        <v>154</v>
      </c>
      <c r="F136" t="s">
        <v>10</v>
      </c>
      <c r="G136" s="3">
        <v>1330</v>
      </c>
    </row>
    <row r="137" spans="1:7">
      <c r="A137" t="s">
        <v>193</v>
      </c>
      <c r="B137" s="2">
        <v>46233</v>
      </c>
      <c r="C137" t="s">
        <v>71</v>
      </c>
      <c r="D137" s="5">
        <v>15</v>
      </c>
      <c r="E137" t="s">
        <v>154</v>
      </c>
      <c r="F137" t="s">
        <v>10</v>
      </c>
      <c r="G137" s="3">
        <v>1320</v>
      </c>
    </row>
    <row r="138" spans="1:7">
      <c r="A138" t="s">
        <v>194</v>
      </c>
      <c r="B138" s="2">
        <v>46238</v>
      </c>
      <c r="C138" t="s">
        <v>166</v>
      </c>
      <c r="D138" s="5">
        <v>9</v>
      </c>
      <c r="E138" t="s">
        <v>154</v>
      </c>
      <c r="F138" t="s">
        <v>10</v>
      </c>
      <c r="G138" s="3">
        <v>1450</v>
      </c>
    </row>
    <row r="139" spans="1:7">
      <c r="A139" t="s">
        <v>195</v>
      </c>
      <c r="B139" s="2">
        <v>46222</v>
      </c>
      <c r="C139" t="s">
        <v>54</v>
      </c>
      <c r="D139" s="5">
        <v>9</v>
      </c>
      <c r="E139" t="s">
        <v>154</v>
      </c>
      <c r="F139" t="s">
        <v>10</v>
      </c>
      <c r="G139" s="3">
        <v>1330</v>
      </c>
    </row>
    <row r="140" spans="1:7">
      <c r="A140" t="s">
        <v>196</v>
      </c>
      <c r="B140" s="2">
        <v>46240</v>
      </c>
      <c r="C140" t="s">
        <v>161</v>
      </c>
      <c r="D140" s="5">
        <v>3</v>
      </c>
      <c r="E140" t="s">
        <v>154</v>
      </c>
      <c r="F140" t="s">
        <v>13</v>
      </c>
      <c r="G140" s="3">
        <v>1760</v>
      </c>
    </row>
    <row r="141" spans="1:7">
      <c r="A141" t="s">
        <v>197</v>
      </c>
      <c r="B141" s="2">
        <v>46288</v>
      </c>
      <c r="C141" t="s">
        <v>133</v>
      </c>
      <c r="D141" s="5">
        <v>28</v>
      </c>
      <c r="E141" t="s">
        <v>154</v>
      </c>
      <c r="F141" t="s">
        <v>13</v>
      </c>
      <c r="G141" s="3">
        <v>1450</v>
      </c>
    </row>
    <row r="142" spans="1:7">
      <c r="A142" t="s">
        <v>198</v>
      </c>
      <c r="B142" s="2">
        <v>46273</v>
      </c>
      <c r="C142" t="s">
        <v>107</v>
      </c>
      <c r="D142" s="5">
        <v>18</v>
      </c>
      <c r="E142" t="s">
        <v>154</v>
      </c>
      <c r="F142" t="s">
        <v>13</v>
      </c>
      <c r="G142" s="3">
        <v>560</v>
      </c>
    </row>
    <row r="143" spans="1:7">
      <c r="A143" t="s">
        <v>199</v>
      </c>
      <c r="B143" s="2">
        <v>46249</v>
      </c>
      <c r="C143" t="s">
        <v>69</v>
      </c>
      <c r="D143" s="5">
        <v>15</v>
      </c>
      <c r="E143" t="s">
        <v>154</v>
      </c>
      <c r="F143" t="s">
        <v>10</v>
      </c>
      <c r="G143" s="3">
        <v>1670</v>
      </c>
    </row>
    <row r="144" spans="1:7">
      <c r="A144" t="s">
        <v>200</v>
      </c>
      <c r="B144" s="2">
        <v>46224</v>
      </c>
      <c r="C144" t="s">
        <v>52</v>
      </c>
      <c r="D144" s="5">
        <v>22</v>
      </c>
      <c r="E144" t="s">
        <v>154</v>
      </c>
      <c r="F144" t="s">
        <v>13</v>
      </c>
      <c r="G144" s="3">
        <v>620</v>
      </c>
    </row>
    <row r="145" spans="1:7">
      <c r="A145" t="s">
        <v>201</v>
      </c>
      <c r="B145" s="2">
        <v>46241</v>
      </c>
      <c r="C145" t="s">
        <v>101</v>
      </c>
      <c r="D145" s="5">
        <v>18</v>
      </c>
      <c r="E145" t="s">
        <v>154</v>
      </c>
      <c r="F145" t="s">
        <v>13</v>
      </c>
      <c r="G145" s="3">
        <v>640</v>
      </c>
    </row>
    <row r="146" spans="1:7">
      <c r="A146" t="s">
        <v>202</v>
      </c>
      <c r="B146" s="2">
        <v>46230</v>
      </c>
      <c r="C146" t="s">
        <v>166</v>
      </c>
      <c r="D146" s="5">
        <v>17</v>
      </c>
      <c r="E146" t="s">
        <v>154</v>
      </c>
      <c r="F146" t="s">
        <v>10</v>
      </c>
      <c r="G146" s="3">
        <v>1450</v>
      </c>
    </row>
    <row r="147" spans="1:7">
      <c r="A147" t="s">
        <v>203</v>
      </c>
      <c r="B147" s="2">
        <v>46257</v>
      </c>
      <c r="C147" t="s">
        <v>64</v>
      </c>
      <c r="D147" s="5">
        <v>4</v>
      </c>
      <c r="E147" t="s">
        <v>154</v>
      </c>
      <c r="F147" t="s">
        <v>23</v>
      </c>
      <c r="G147" s="3">
        <v>2230</v>
      </c>
    </row>
    <row r="148" spans="1:7">
      <c r="A148" t="s">
        <v>204</v>
      </c>
      <c r="B148" s="2">
        <v>46288</v>
      </c>
      <c r="C148" t="s">
        <v>161</v>
      </c>
      <c r="D148" s="5">
        <v>28</v>
      </c>
      <c r="E148" t="s">
        <v>154</v>
      </c>
      <c r="F148" t="s">
        <v>13</v>
      </c>
      <c r="G148" s="3">
        <v>1760</v>
      </c>
    </row>
    <row r="149" spans="1:7">
      <c r="A149" t="s">
        <v>205</v>
      </c>
      <c r="B149" s="2">
        <v>46289</v>
      </c>
      <c r="C149" t="s">
        <v>123</v>
      </c>
      <c r="D149" s="5">
        <v>3</v>
      </c>
      <c r="E149" t="s">
        <v>154</v>
      </c>
      <c r="F149" t="s">
        <v>10</v>
      </c>
      <c r="G149" s="3">
        <v>1120</v>
      </c>
    </row>
    <row r="150" spans="1:7">
      <c r="A150" t="s">
        <v>206</v>
      </c>
      <c r="B150" s="2">
        <v>46216</v>
      </c>
      <c r="C150" t="s">
        <v>8</v>
      </c>
      <c r="D150" s="5">
        <v>7</v>
      </c>
      <c r="E150" t="s">
        <v>154</v>
      </c>
      <c r="F150" t="s">
        <v>10</v>
      </c>
      <c r="G150" s="3">
        <v>630</v>
      </c>
    </row>
    <row r="151" spans="1:7">
      <c r="A151" t="s">
        <v>207</v>
      </c>
      <c r="B151" s="2">
        <v>46253</v>
      </c>
      <c r="C151" t="s">
        <v>54</v>
      </c>
      <c r="D151" s="5">
        <v>25</v>
      </c>
      <c r="E151" t="s">
        <v>154</v>
      </c>
      <c r="F151" t="s">
        <v>10</v>
      </c>
      <c r="G151" s="3">
        <v>1330</v>
      </c>
    </row>
    <row r="152" spans="1:7">
      <c r="A152" t="s">
        <v>208</v>
      </c>
      <c r="B152" s="2">
        <v>46242</v>
      </c>
      <c r="C152" t="s">
        <v>79</v>
      </c>
      <c r="D152" s="5">
        <v>9</v>
      </c>
      <c r="E152" t="s">
        <v>154</v>
      </c>
      <c r="F152" t="s">
        <v>10</v>
      </c>
      <c r="G152" s="3">
        <v>1300</v>
      </c>
    </row>
    <row r="153" spans="1:7">
      <c r="A153" t="s">
        <v>209</v>
      </c>
      <c r="B153" s="2">
        <v>46275</v>
      </c>
      <c r="C153" t="s">
        <v>36</v>
      </c>
      <c r="D153" s="5">
        <v>20</v>
      </c>
      <c r="E153" t="s">
        <v>154</v>
      </c>
      <c r="F153" t="s">
        <v>10</v>
      </c>
      <c r="G153" s="3">
        <v>2320</v>
      </c>
    </row>
    <row r="154" spans="1:7">
      <c r="A154" t="s">
        <v>210</v>
      </c>
      <c r="B154" s="2">
        <v>46231</v>
      </c>
      <c r="C154" t="s">
        <v>143</v>
      </c>
      <c r="D154" s="5">
        <v>29</v>
      </c>
      <c r="E154" t="s">
        <v>154</v>
      </c>
      <c r="F154" t="s">
        <v>10</v>
      </c>
      <c r="G154" s="3">
        <v>2260</v>
      </c>
    </row>
    <row r="155" spans="1:7">
      <c r="A155" t="s">
        <v>211</v>
      </c>
      <c r="B155" s="2">
        <v>46231</v>
      </c>
      <c r="C155" t="s">
        <v>52</v>
      </c>
      <c r="D155" s="5">
        <v>16</v>
      </c>
      <c r="E155" t="s">
        <v>154</v>
      </c>
      <c r="F155" t="s">
        <v>13</v>
      </c>
      <c r="G155" s="3">
        <v>620</v>
      </c>
    </row>
    <row r="156" spans="1:7">
      <c r="A156" t="s">
        <v>212</v>
      </c>
      <c r="B156" s="2">
        <v>46255</v>
      </c>
      <c r="C156" t="s">
        <v>45</v>
      </c>
      <c r="D156" s="5">
        <v>28</v>
      </c>
      <c r="E156" t="s">
        <v>154</v>
      </c>
      <c r="F156" t="s">
        <v>13</v>
      </c>
      <c r="G156" s="3">
        <v>1860</v>
      </c>
    </row>
    <row r="157" spans="1:7">
      <c r="A157" t="s">
        <v>213</v>
      </c>
      <c r="B157" s="2">
        <v>46256</v>
      </c>
      <c r="C157" t="s">
        <v>97</v>
      </c>
      <c r="D157" s="5">
        <v>5</v>
      </c>
      <c r="E157" t="s">
        <v>154</v>
      </c>
      <c r="F157" t="s">
        <v>13</v>
      </c>
      <c r="G157" s="3">
        <v>1960</v>
      </c>
    </row>
    <row r="158" spans="1:7">
      <c r="A158" t="s">
        <v>214</v>
      </c>
      <c r="B158" s="2">
        <v>46282</v>
      </c>
      <c r="C158" t="s">
        <v>27</v>
      </c>
      <c r="D158" s="5">
        <v>18</v>
      </c>
      <c r="E158" t="s">
        <v>154</v>
      </c>
      <c r="F158" t="s">
        <v>10</v>
      </c>
      <c r="G158" s="3">
        <v>1110</v>
      </c>
    </row>
    <row r="159" spans="1:7">
      <c r="A159" t="s">
        <v>215</v>
      </c>
      <c r="B159" s="2">
        <v>46276</v>
      </c>
      <c r="C159" t="s">
        <v>15</v>
      </c>
      <c r="D159" s="5">
        <v>4</v>
      </c>
      <c r="E159" t="s">
        <v>154</v>
      </c>
      <c r="F159" t="s">
        <v>13</v>
      </c>
      <c r="G159" s="3">
        <v>1450</v>
      </c>
    </row>
    <row r="160" spans="1:7">
      <c r="A160" t="s">
        <v>216</v>
      </c>
      <c r="B160" s="2">
        <v>46268</v>
      </c>
      <c r="C160" t="s">
        <v>22</v>
      </c>
      <c r="D160" s="5">
        <v>19</v>
      </c>
      <c r="E160" t="s">
        <v>154</v>
      </c>
      <c r="F160" t="s">
        <v>23</v>
      </c>
      <c r="G160" s="3">
        <v>1410</v>
      </c>
    </row>
    <row r="161" spans="1:7">
      <c r="A161" t="s">
        <v>217</v>
      </c>
      <c r="B161" s="2">
        <v>46277</v>
      </c>
      <c r="C161" t="s">
        <v>29</v>
      </c>
      <c r="D161" s="5">
        <v>24</v>
      </c>
      <c r="E161" t="s">
        <v>154</v>
      </c>
      <c r="F161" t="s">
        <v>13</v>
      </c>
      <c r="G161" s="3">
        <v>860</v>
      </c>
    </row>
    <row r="162" spans="1:7">
      <c r="A162" t="s">
        <v>218</v>
      </c>
      <c r="B162" s="2">
        <v>46278</v>
      </c>
      <c r="C162" t="s">
        <v>29</v>
      </c>
      <c r="D162" s="5">
        <v>20</v>
      </c>
      <c r="E162" t="s">
        <v>154</v>
      </c>
      <c r="F162" t="s">
        <v>13</v>
      </c>
      <c r="G162" s="3">
        <v>860</v>
      </c>
    </row>
    <row r="163" spans="1:7">
      <c r="A163" t="s">
        <v>219</v>
      </c>
      <c r="B163" s="2">
        <v>46238</v>
      </c>
      <c r="C163" t="s">
        <v>54</v>
      </c>
      <c r="D163" s="5">
        <v>27</v>
      </c>
      <c r="E163" t="s">
        <v>220</v>
      </c>
      <c r="F163" t="s">
        <v>10</v>
      </c>
      <c r="G163" s="3">
        <v>1330</v>
      </c>
    </row>
    <row r="164" spans="1:7">
      <c r="A164" t="s">
        <v>221</v>
      </c>
      <c r="B164" s="2">
        <v>46270</v>
      </c>
      <c r="C164" t="s">
        <v>133</v>
      </c>
      <c r="D164" s="5">
        <v>27</v>
      </c>
      <c r="E164" t="s">
        <v>220</v>
      </c>
      <c r="F164" t="s">
        <v>13</v>
      </c>
      <c r="G164" s="3">
        <v>1450</v>
      </c>
    </row>
    <row r="165" spans="1:7">
      <c r="A165" t="s">
        <v>222</v>
      </c>
      <c r="B165" s="2">
        <v>46208</v>
      </c>
      <c r="C165" t="s">
        <v>47</v>
      </c>
      <c r="D165" s="5">
        <v>9</v>
      </c>
      <c r="E165" t="s">
        <v>220</v>
      </c>
      <c r="F165" t="s">
        <v>13</v>
      </c>
      <c r="G165" s="3">
        <v>1800</v>
      </c>
    </row>
    <row r="166" spans="1:7">
      <c r="A166" t="s">
        <v>223</v>
      </c>
      <c r="B166" s="2">
        <v>46245</v>
      </c>
      <c r="C166" t="s">
        <v>58</v>
      </c>
      <c r="D166" s="5">
        <v>29</v>
      </c>
      <c r="E166" t="s">
        <v>220</v>
      </c>
      <c r="F166" t="s">
        <v>10</v>
      </c>
      <c r="G166" s="3">
        <v>870</v>
      </c>
    </row>
    <row r="167" spans="1:7">
      <c r="A167" t="s">
        <v>224</v>
      </c>
      <c r="B167" s="2">
        <v>46292</v>
      </c>
      <c r="C167" t="s">
        <v>83</v>
      </c>
      <c r="D167" s="5">
        <v>29</v>
      </c>
      <c r="E167" t="s">
        <v>220</v>
      </c>
      <c r="F167" t="s">
        <v>23</v>
      </c>
      <c r="G167" s="3">
        <v>2110</v>
      </c>
    </row>
    <row r="168" spans="1:7">
      <c r="A168" t="s">
        <v>225</v>
      </c>
      <c r="B168" s="2">
        <v>46209</v>
      </c>
      <c r="C168" t="s">
        <v>107</v>
      </c>
      <c r="D168" s="5">
        <v>28</v>
      </c>
      <c r="E168" t="s">
        <v>220</v>
      </c>
      <c r="F168" t="s">
        <v>13</v>
      </c>
      <c r="G168" s="3">
        <v>560</v>
      </c>
    </row>
    <row r="169" spans="1:7">
      <c r="A169" t="s">
        <v>226</v>
      </c>
      <c r="B169" s="2">
        <v>46267</v>
      </c>
      <c r="C169" t="s">
        <v>161</v>
      </c>
      <c r="D169" s="5">
        <v>6</v>
      </c>
      <c r="E169" t="s">
        <v>220</v>
      </c>
      <c r="F169" t="s">
        <v>13</v>
      </c>
      <c r="G169" s="3">
        <v>1760</v>
      </c>
    </row>
    <row r="170" spans="1:7">
      <c r="A170" t="s">
        <v>227</v>
      </c>
      <c r="B170" s="2">
        <v>46285</v>
      </c>
      <c r="C170" t="s">
        <v>66</v>
      </c>
      <c r="D170" s="5">
        <v>11</v>
      </c>
      <c r="E170" t="s">
        <v>220</v>
      </c>
      <c r="F170" t="s">
        <v>13</v>
      </c>
      <c r="G170" s="3">
        <v>890</v>
      </c>
    </row>
    <row r="171" spans="1:7">
      <c r="A171" t="s">
        <v>228</v>
      </c>
      <c r="B171" s="2">
        <v>46262</v>
      </c>
      <c r="C171" t="s">
        <v>8</v>
      </c>
      <c r="D171" s="5">
        <v>19</v>
      </c>
      <c r="E171" t="s">
        <v>220</v>
      </c>
      <c r="F171" t="s">
        <v>10</v>
      </c>
      <c r="G171" s="3">
        <v>630</v>
      </c>
    </row>
    <row r="172" spans="1:7">
      <c r="A172" t="s">
        <v>229</v>
      </c>
      <c r="B172" s="2">
        <v>46209</v>
      </c>
      <c r="C172" t="s">
        <v>19</v>
      </c>
      <c r="D172" s="5">
        <v>21</v>
      </c>
      <c r="E172" t="s">
        <v>220</v>
      </c>
      <c r="F172" t="s">
        <v>13</v>
      </c>
      <c r="G172" s="3">
        <v>1440</v>
      </c>
    </row>
    <row r="173" spans="1:7">
      <c r="A173" t="s">
        <v>230</v>
      </c>
      <c r="B173" s="2">
        <v>46209</v>
      </c>
      <c r="C173" t="s">
        <v>71</v>
      </c>
      <c r="D173" s="5">
        <v>21</v>
      </c>
      <c r="E173" t="s">
        <v>220</v>
      </c>
      <c r="F173" t="s">
        <v>10</v>
      </c>
      <c r="G173" s="3">
        <v>1320</v>
      </c>
    </row>
    <row r="174" spans="1:7">
      <c r="A174" t="s">
        <v>231</v>
      </c>
      <c r="B174" s="2">
        <v>46291</v>
      </c>
      <c r="C174" t="s">
        <v>107</v>
      </c>
      <c r="D174" s="5">
        <v>27</v>
      </c>
      <c r="E174" t="s">
        <v>220</v>
      </c>
      <c r="F174" t="s">
        <v>13</v>
      </c>
      <c r="G174" s="3">
        <v>560</v>
      </c>
    </row>
    <row r="175" spans="1:7">
      <c r="A175" t="s">
        <v>232</v>
      </c>
      <c r="B175" s="2">
        <v>46262</v>
      </c>
      <c r="C175" t="s">
        <v>50</v>
      </c>
      <c r="D175" s="5">
        <v>19</v>
      </c>
      <c r="E175" t="s">
        <v>220</v>
      </c>
      <c r="F175" t="s">
        <v>23</v>
      </c>
      <c r="G175" s="3">
        <v>1150</v>
      </c>
    </row>
    <row r="176" spans="1:7">
      <c r="A176" t="s">
        <v>233</v>
      </c>
      <c r="B176" s="2">
        <v>46288</v>
      </c>
      <c r="C176" t="s">
        <v>79</v>
      </c>
      <c r="D176" s="5">
        <v>13</v>
      </c>
      <c r="E176" t="s">
        <v>220</v>
      </c>
      <c r="F176" t="s">
        <v>10</v>
      </c>
      <c r="G176" s="3">
        <v>1300</v>
      </c>
    </row>
    <row r="177" spans="1:7">
      <c r="A177" t="s">
        <v>234</v>
      </c>
      <c r="B177" s="2">
        <v>46267</v>
      </c>
      <c r="C177" t="s">
        <v>97</v>
      </c>
      <c r="D177" s="5">
        <v>30</v>
      </c>
      <c r="E177" t="s">
        <v>220</v>
      </c>
      <c r="F177" t="s">
        <v>13</v>
      </c>
      <c r="G177" s="3">
        <v>1960</v>
      </c>
    </row>
    <row r="178" spans="1:7">
      <c r="A178" t="s">
        <v>235</v>
      </c>
      <c r="B178" s="2">
        <v>46273</v>
      </c>
      <c r="C178" t="s">
        <v>75</v>
      </c>
      <c r="D178" s="5">
        <v>8</v>
      </c>
      <c r="E178" t="s">
        <v>220</v>
      </c>
      <c r="F178" t="s">
        <v>13</v>
      </c>
      <c r="G178" s="3">
        <v>1710</v>
      </c>
    </row>
    <row r="179" spans="1:7">
      <c r="A179" t="s">
        <v>236</v>
      </c>
      <c r="B179" s="2">
        <v>46285</v>
      </c>
      <c r="C179" t="s">
        <v>94</v>
      </c>
      <c r="D179" s="5">
        <v>30</v>
      </c>
      <c r="E179" t="s">
        <v>220</v>
      </c>
      <c r="F179" t="s">
        <v>13</v>
      </c>
      <c r="G179" s="3">
        <v>560</v>
      </c>
    </row>
    <row r="180" spans="1:7">
      <c r="A180" t="s">
        <v>237</v>
      </c>
      <c r="B180" s="2">
        <v>46216</v>
      </c>
      <c r="C180" t="s">
        <v>238</v>
      </c>
      <c r="D180" s="5">
        <v>10</v>
      </c>
      <c r="E180" t="s">
        <v>239</v>
      </c>
      <c r="F180" t="s">
        <v>13</v>
      </c>
      <c r="G180" s="3">
        <v>2175</v>
      </c>
    </row>
    <row r="181" spans="1:7">
      <c r="A181" t="s">
        <v>240</v>
      </c>
      <c r="B181" s="2">
        <v>46224</v>
      </c>
      <c r="C181" t="s">
        <v>97</v>
      </c>
      <c r="D181" s="5">
        <v>26</v>
      </c>
      <c r="E181" t="s">
        <v>239</v>
      </c>
      <c r="F181" t="s">
        <v>13</v>
      </c>
      <c r="G181" s="3">
        <v>1960</v>
      </c>
    </row>
    <row r="182" spans="1:7">
      <c r="A182" t="s">
        <v>241</v>
      </c>
      <c r="B182" s="2">
        <v>46217</v>
      </c>
      <c r="C182" t="s">
        <v>58</v>
      </c>
      <c r="D182" s="5">
        <v>3</v>
      </c>
      <c r="E182" t="s">
        <v>239</v>
      </c>
      <c r="F182" t="s">
        <v>10</v>
      </c>
      <c r="G182" s="3">
        <v>870</v>
      </c>
    </row>
    <row r="183" spans="1:7">
      <c r="A183" t="s">
        <v>242</v>
      </c>
      <c r="B183" s="2">
        <v>46208</v>
      </c>
      <c r="C183" t="s">
        <v>22</v>
      </c>
      <c r="D183" s="5">
        <v>21</v>
      </c>
      <c r="E183" t="s">
        <v>239</v>
      </c>
      <c r="F183" t="s">
        <v>23</v>
      </c>
      <c r="G183" s="3">
        <v>1410</v>
      </c>
    </row>
    <row r="184" spans="1:7">
      <c r="A184" t="s">
        <v>243</v>
      </c>
      <c r="B184" s="2">
        <v>46249</v>
      </c>
      <c r="C184" t="s">
        <v>58</v>
      </c>
      <c r="D184" s="5">
        <v>20</v>
      </c>
      <c r="E184" t="s">
        <v>239</v>
      </c>
      <c r="F184" t="s">
        <v>10</v>
      </c>
      <c r="G184" s="3">
        <v>870</v>
      </c>
    </row>
    <row r="185" spans="1:7">
      <c r="A185" t="s">
        <v>244</v>
      </c>
      <c r="B185" s="2">
        <v>46231</v>
      </c>
      <c r="C185" t="s">
        <v>94</v>
      </c>
      <c r="D185" s="5">
        <v>24</v>
      </c>
      <c r="E185" t="s">
        <v>239</v>
      </c>
      <c r="F185" t="s">
        <v>13</v>
      </c>
      <c r="G185" s="3">
        <v>560</v>
      </c>
    </row>
    <row r="186" spans="1:7">
      <c r="A186" t="s">
        <v>245</v>
      </c>
      <c r="B186" s="2">
        <v>46220</v>
      </c>
      <c r="C186" t="s">
        <v>47</v>
      </c>
      <c r="D186" s="5">
        <v>4</v>
      </c>
      <c r="E186" t="s">
        <v>239</v>
      </c>
      <c r="F186" t="s">
        <v>13</v>
      </c>
      <c r="G186" s="3">
        <v>1800</v>
      </c>
    </row>
    <row r="187" spans="1:7">
      <c r="A187" t="s">
        <v>246</v>
      </c>
      <c r="B187" s="2">
        <v>46239</v>
      </c>
      <c r="C187" t="s">
        <v>15</v>
      </c>
      <c r="D187" s="5">
        <v>3</v>
      </c>
      <c r="E187" t="s">
        <v>239</v>
      </c>
      <c r="F187" t="s">
        <v>13</v>
      </c>
      <c r="G187" s="3">
        <v>1450</v>
      </c>
    </row>
    <row r="188" spans="1:7">
      <c r="A188" t="s">
        <v>247</v>
      </c>
      <c r="B188" s="2">
        <v>46259</v>
      </c>
      <c r="C188" t="s">
        <v>71</v>
      </c>
      <c r="D188" s="5">
        <v>19</v>
      </c>
      <c r="E188" t="s">
        <v>239</v>
      </c>
      <c r="F188" t="s">
        <v>10</v>
      </c>
      <c r="G188" s="3">
        <v>1320</v>
      </c>
    </row>
    <row r="189" spans="1:7">
      <c r="A189" t="s">
        <v>248</v>
      </c>
      <c r="B189" s="2">
        <v>46231</v>
      </c>
      <c r="C189" t="s">
        <v>56</v>
      </c>
      <c r="D189" s="5">
        <v>27</v>
      </c>
      <c r="E189" t="s">
        <v>239</v>
      </c>
      <c r="F189" t="s">
        <v>13</v>
      </c>
      <c r="G189" s="3">
        <v>2100</v>
      </c>
    </row>
    <row r="190" spans="1:7">
      <c r="A190" t="s">
        <v>249</v>
      </c>
      <c r="B190" s="2">
        <v>46291</v>
      </c>
      <c r="C190" t="s">
        <v>104</v>
      </c>
      <c r="D190" s="5">
        <v>17</v>
      </c>
      <c r="E190" t="s">
        <v>239</v>
      </c>
      <c r="F190" t="s">
        <v>13</v>
      </c>
      <c r="G190" s="3">
        <v>1200</v>
      </c>
    </row>
    <row r="191" spans="1:7">
      <c r="A191" t="s">
        <v>250</v>
      </c>
      <c r="B191" s="2">
        <v>46269</v>
      </c>
      <c r="C191" t="s">
        <v>50</v>
      </c>
      <c r="D191" s="5">
        <v>18</v>
      </c>
      <c r="E191" t="s">
        <v>239</v>
      </c>
      <c r="F191" t="s">
        <v>23</v>
      </c>
      <c r="G191" s="3">
        <v>1150</v>
      </c>
    </row>
    <row r="192" spans="1:7">
      <c r="A192" t="s">
        <v>251</v>
      </c>
      <c r="B192" s="2">
        <v>46243</v>
      </c>
      <c r="C192" t="s">
        <v>58</v>
      </c>
      <c r="D192" s="5">
        <v>17</v>
      </c>
      <c r="E192" t="s">
        <v>239</v>
      </c>
      <c r="F192" t="s">
        <v>10</v>
      </c>
      <c r="G192" s="3">
        <v>870</v>
      </c>
    </row>
    <row r="193" spans="1:7">
      <c r="A193" t="s">
        <v>252</v>
      </c>
      <c r="B193" s="2">
        <v>46240</v>
      </c>
      <c r="C193" t="s">
        <v>32</v>
      </c>
      <c r="D193" s="5">
        <v>23</v>
      </c>
      <c r="E193" t="s">
        <v>239</v>
      </c>
      <c r="F193" t="s">
        <v>13</v>
      </c>
      <c r="G193" s="3">
        <v>1110</v>
      </c>
    </row>
    <row r="194" spans="1:7">
      <c r="A194" t="s">
        <v>253</v>
      </c>
      <c r="B194" s="2">
        <v>46268</v>
      </c>
      <c r="C194" t="s">
        <v>101</v>
      </c>
      <c r="D194" s="5">
        <v>13</v>
      </c>
      <c r="E194" t="s">
        <v>239</v>
      </c>
      <c r="F194" t="s">
        <v>13</v>
      </c>
      <c r="G194" s="3">
        <v>640</v>
      </c>
    </row>
    <row r="195" spans="1:7">
      <c r="A195" t="s">
        <v>254</v>
      </c>
      <c r="B195" s="2">
        <v>46269</v>
      </c>
      <c r="C195" t="s">
        <v>83</v>
      </c>
      <c r="D195" s="5">
        <v>13</v>
      </c>
      <c r="E195" t="s">
        <v>239</v>
      </c>
      <c r="F195" t="s">
        <v>23</v>
      </c>
      <c r="G195" s="3">
        <v>2110</v>
      </c>
    </row>
    <row r="196" spans="1:7">
      <c r="A196" t="s">
        <v>255</v>
      </c>
      <c r="B196" s="2">
        <v>46286</v>
      </c>
      <c r="C196" t="s">
        <v>50</v>
      </c>
      <c r="D196" s="5">
        <v>5</v>
      </c>
      <c r="E196" t="s">
        <v>239</v>
      </c>
      <c r="F196" t="s">
        <v>23</v>
      </c>
      <c r="G196" s="3">
        <v>1150</v>
      </c>
    </row>
    <row r="197" spans="1:7">
      <c r="A197" t="s">
        <v>256</v>
      </c>
      <c r="B197" s="2">
        <v>46247</v>
      </c>
      <c r="C197" t="s">
        <v>17</v>
      </c>
      <c r="D197" s="5">
        <v>18</v>
      </c>
      <c r="E197" t="s">
        <v>239</v>
      </c>
      <c r="F197" t="s">
        <v>13</v>
      </c>
      <c r="G197" s="3">
        <v>2120</v>
      </c>
    </row>
    <row r="198" spans="1:7">
      <c r="A198" t="s">
        <v>257</v>
      </c>
      <c r="B198" s="2">
        <v>46292</v>
      </c>
      <c r="C198" t="s">
        <v>12</v>
      </c>
      <c r="D198" s="5">
        <v>20</v>
      </c>
      <c r="E198" t="s">
        <v>239</v>
      </c>
      <c r="F198" t="s">
        <v>13</v>
      </c>
      <c r="G198" s="3">
        <v>1380</v>
      </c>
    </row>
    <row r="199" spans="1:7">
      <c r="A199" t="s">
        <v>258</v>
      </c>
      <c r="B199" s="2">
        <v>46286</v>
      </c>
      <c r="C199" t="s">
        <v>52</v>
      </c>
      <c r="D199" s="5">
        <v>5</v>
      </c>
      <c r="E199" t="s">
        <v>239</v>
      </c>
      <c r="F199" t="s">
        <v>13</v>
      </c>
      <c r="G199" s="3">
        <v>620</v>
      </c>
    </row>
    <row r="200" spans="1:7">
      <c r="A200" t="s">
        <v>259</v>
      </c>
      <c r="B200" s="2">
        <v>46237</v>
      </c>
      <c r="C200" t="s">
        <v>121</v>
      </c>
      <c r="D200" s="5">
        <v>20</v>
      </c>
      <c r="E200" t="s">
        <v>239</v>
      </c>
      <c r="F200" t="s">
        <v>13</v>
      </c>
      <c r="G200" s="3">
        <v>1320</v>
      </c>
    </row>
    <row r="201" spans="1:7">
      <c r="A201" t="s">
        <v>260</v>
      </c>
      <c r="B201" s="2">
        <v>46259</v>
      </c>
      <c r="C201" t="s">
        <v>135</v>
      </c>
      <c r="D201" s="5">
        <v>21</v>
      </c>
      <c r="E201" t="s">
        <v>239</v>
      </c>
      <c r="F201" t="s">
        <v>13</v>
      </c>
      <c r="G201" s="3">
        <v>1370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F48"/>
  <sheetViews>
    <sheetView workbookViewId="0"/>
  </sheetViews>
  <sheetFormatPr defaultRowHeight="15"/>
  <sheetData>
    <row r="1" spans="1:6">
      <c r="A1" s="1" t="s">
        <v>2</v>
      </c>
      <c r="B1" s="1" t="s">
        <v>261</v>
      </c>
      <c r="C1" s="1" t="s">
        <v>5</v>
      </c>
      <c r="D1" s="1" t="s">
        <v>262</v>
      </c>
      <c r="E1" s="1" t="s">
        <v>263</v>
      </c>
      <c r="F1" s="1" t="s">
        <v>264</v>
      </c>
    </row>
    <row r="2" spans="1:6">
      <c r="A2" t="s">
        <v>15</v>
      </c>
      <c r="B2" s="3">
        <v>1450</v>
      </c>
      <c r="C2" t="s">
        <v>13</v>
      </c>
      <c r="D2" s="2">
        <v>46204</v>
      </c>
      <c r="E2" t="s">
        <v>265</v>
      </c>
      <c r="F2" t="s">
        <v>266</v>
      </c>
    </row>
    <row r="3" spans="1:6">
      <c r="A3" t="s">
        <v>75</v>
      </c>
      <c r="B3" s="3">
        <v>1710</v>
      </c>
      <c r="C3" t="s">
        <v>13</v>
      </c>
      <c r="D3" s="2">
        <v>46204</v>
      </c>
      <c r="E3" t="s">
        <v>267</v>
      </c>
      <c r="F3" t="s">
        <v>268</v>
      </c>
    </row>
    <row r="4" spans="1:6">
      <c r="A4" t="s">
        <v>123</v>
      </c>
      <c r="B4" s="3">
        <v>1120</v>
      </c>
      <c r="C4" t="s">
        <v>10</v>
      </c>
      <c r="D4" s="2">
        <v>46204</v>
      </c>
      <c r="E4" t="s">
        <v>269</v>
      </c>
      <c r="F4" t="s">
        <v>270</v>
      </c>
    </row>
    <row r="5" spans="1:6">
      <c r="A5" t="s">
        <v>47</v>
      </c>
      <c r="B5" s="3">
        <v>1800</v>
      </c>
      <c r="C5" t="s">
        <v>13</v>
      </c>
      <c r="D5" s="2">
        <v>46204</v>
      </c>
      <c r="E5" t="s">
        <v>271</v>
      </c>
      <c r="F5" t="s">
        <v>272</v>
      </c>
    </row>
    <row r="6" spans="1:6">
      <c r="A6" t="s">
        <v>36</v>
      </c>
      <c r="B6" s="3">
        <v>2320</v>
      </c>
      <c r="C6" t="s">
        <v>10</v>
      </c>
      <c r="D6" s="2">
        <v>46204</v>
      </c>
      <c r="E6" t="s">
        <v>269</v>
      </c>
      <c r="F6" t="s">
        <v>273</v>
      </c>
    </row>
    <row r="7" spans="1:6">
      <c r="A7" t="s">
        <v>121</v>
      </c>
      <c r="B7" s="3">
        <v>1320</v>
      </c>
      <c r="C7" t="s">
        <v>13</v>
      </c>
      <c r="D7" s="2">
        <v>46204</v>
      </c>
      <c r="E7" t="s">
        <v>271</v>
      </c>
      <c r="F7" t="s">
        <v>274</v>
      </c>
    </row>
    <row r="8" spans="1:6">
      <c r="A8" t="s">
        <v>71</v>
      </c>
      <c r="B8" s="3">
        <v>1320</v>
      </c>
      <c r="C8" t="s">
        <v>10</v>
      </c>
      <c r="D8" s="2">
        <v>46204</v>
      </c>
      <c r="E8" t="s">
        <v>271</v>
      </c>
      <c r="F8" t="s">
        <v>275</v>
      </c>
    </row>
    <row r="9" spans="1:6">
      <c r="A9" t="s">
        <v>52</v>
      </c>
      <c r="B9" s="3">
        <v>620</v>
      </c>
      <c r="C9" t="s">
        <v>13</v>
      </c>
      <c r="D9" s="2">
        <v>46204</v>
      </c>
      <c r="E9" t="s">
        <v>267</v>
      </c>
      <c r="F9" t="s">
        <v>276</v>
      </c>
    </row>
    <row r="10" spans="1:6">
      <c r="A10" t="s">
        <v>135</v>
      </c>
      <c r="B10" s="3">
        <v>1370</v>
      </c>
      <c r="C10" t="s">
        <v>13</v>
      </c>
      <c r="D10" s="2">
        <v>46204</v>
      </c>
      <c r="E10" t="s">
        <v>269</v>
      </c>
      <c r="F10" t="s">
        <v>277</v>
      </c>
    </row>
    <row r="11" spans="1:6">
      <c r="A11" t="s">
        <v>34</v>
      </c>
      <c r="B11" s="3">
        <v>1560</v>
      </c>
      <c r="C11" t="s">
        <v>10</v>
      </c>
      <c r="D11" s="2">
        <v>46204</v>
      </c>
      <c r="E11" t="s">
        <v>269</v>
      </c>
      <c r="F11" t="s">
        <v>278</v>
      </c>
    </row>
    <row r="12" spans="1:6">
      <c r="A12" t="s">
        <v>50</v>
      </c>
      <c r="B12" s="3">
        <v>1150</v>
      </c>
      <c r="C12" t="s">
        <v>23</v>
      </c>
      <c r="D12" s="2">
        <v>46204</v>
      </c>
      <c r="E12" t="s">
        <v>279</v>
      </c>
      <c r="F12" t="s">
        <v>280</v>
      </c>
    </row>
    <row r="13" spans="1:6">
      <c r="A13" t="s">
        <v>104</v>
      </c>
      <c r="B13" s="3">
        <v>1340</v>
      </c>
      <c r="C13" t="s">
        <v>13</v>
      </c>
      <c r="D13" s="2">
        <v>46248</v>
      </c>
      <c r="E13" t="s">
        <v>269</v>
      </c>
    </row>
    <row r="14" spans="1:6">
      <c r="A14" t="s">
        <v>66</v>
      </c>
      <c r="B14" s="3">
        <v>980</v>
      </c>
      <c r="C14" t="s">
        <v>13</v>
      </c>
      <c r="D14" s="2">
        <v>46248</v>
      </c>
      <c r="E14" t="s">
        <v>269</v>
      </c>
    </row>
    <row r="15" spans="1:6">
      <c r="A15" t="s">
        <v>69</v>
      </c>
      <c r="B15" s="3">
        <v>1670</v>
      </c>
      <c r="C15" t="s">
        <v>10</v>
      </c>
      <c r="D15" s="2">
        <v>46204</v>
      </c>
      <c r="E15" t="s">
        <v>271</v>
      </c>
      <c r="F15" t="s">
        <v>281</v>
      </c>
    </row>
    <row r="16" spans="1:6">
      <c r="A16" t="s">
        <v>45</v>
      </c>
      <c r="B16" s="3">
        <v>1860</v>
      </c>
      <c r="C16" t="s">
        <v>13</v>
      </c>
      <c r="D16" s="2">
        <v>46204</v>
      </c>
      <c r="E16" t="s">
        <v>282</v>
      </c>
      <c r="F16" t="s">
        <v>283</v>
      </c>
    </row>
    <row r="17" spans="1:6">
      <c r="A17" t="s">
        <v>27</v>
      </c>
      <c r="B17" s="3">
        <v>1110</v>
      </c>
      <c r="C17" t="s">
        <v>10</v>
      </c>
      <c r="D17" s="2">
        <v>46204</v>
      </c>
      <c r="E17" t="s">
        <v>282</v>
      </c>
      <c r="F17" t="s">
        <v>284</v>
      </c>
    </row>
    <row r="18" spans="1:6">
      <c r="A18" t="s">
        <v>91</v>
      </c>
      <c r="B18" s="3">
        <v>550</v>
      </c>
      <c r="C18" t="s">
        <v>13</v>
      </c>
      <c r="D18" s="2">
        <v>46204</v>
      </c>
      <c r="E18" t="s">
        <v>269</v>
      </c>
      <c r="F18" t="s">
        <v>285</v>
      </c>
    </row>
    <row r="19" spans="1:6">
      <c r="A19" t="s">
        <v>58</v>
      </c>
      <c r="B19" s="3">
        <v>870</v>
      </c>
      <c r="C19" t="s">
        <v>10</v>
      </c>
      <c r="D19" s="2">
        <v>46204</v>
      </c>
      <c r="E19" t="s">
        <v>271</v>
      </c>
      <c r="F19" t="s">
        <v>286</v>
      </c>
    </row>
    <row r="20" spans="1:6">
      <c r="A20" t="s">
        <v>166</v>
      </c>
      <c r="B20" s="3">
        <v>1450</v>
      </c>
      <c r="C20" t="s">
        <v>10</v>
      </c>
      <c r="D20" s="2">
        <v>46204</v>
      </c>
      <c r="E20" t="s">
        <v>265</v>
      </c>
      <c r="F20" t="s">
        <v>287</v>
      </c>
    </row>
    <row r="21" spans="1:6">
      <c r="A21" t="s">
        <v>64</v>
      </c>
      <c r="B21" s="3">
        <v>2230</v>
      </c>
      <c r="C21" t="s">
        <v>23</v>
      </c>
      <c r="D21" s="2">
        <v>46204</v>
      </c>
      <c r="E21" t="s">
        <v>265</v>
      </c>
      <c r="F21" t="s">
        <v>288</v>
      </c>
    </row>
    <row r="22" spans="1:6">
      <c r="A22" t="s">
        <v>94</v>
      </c>
      <c r="B22" s="3">
        <v>560</v>
      </c>
      <c r="C22" t="s">
        <v>13</v>
      </c>
      <c r="D22" s="2">
        <v>46204</v>
      </c>
      <c r="E22" t="s">
        <v>267</v>
      </c>
      <c r="F22" t="s">
        <v>289</v>
      </c>
    </row>
    <row r="23" spans="1:6">
      <c r="A23" t="s">
        <v>8</v>
      </c>
      <c r="B23" s="3">
        <v>630</v>
      </c>
      <c r="C23" t="s">
        <v>10</v>
      </c>
      <c r="D23" s="2">
        <v>46204</v>
      </c>
      <c r="E23" t="s">
        <v>269</v>
      </c>
      <c r="F23" t="s">
        <v>290</v>
      </c>
    </row>
    <row r="24" spans="1:6">
      <c r="A24" t="s">
        <v>38</v>
      </c>
      <c r="B24" s="3">
        <v>1380</v>
      </c>
      <c r="C24" t="s">
        <v>10</v>
      </c>
      <c r="D24" s="2">
        <v>46204</v>
      </c>
      <c r="E24" t="s">
        <v>267</v>
      </c>
      <c r="F24" t="s">
        <v>291</v>
      </c>
    </row>
    <row r="25" spans="1:6">
      <c r="A25" t="s">
        <v>107</v>
      </c>
      <c r="B25" s="3">
        <v>560</v>
      </c>
      <c r="C25" t="s">
        <v>13</v>
      </c>
      <c r="D25" s="2">
        <v>46204</v>
      </c>
      <c r="E25" t="s">
        <v>279</v>
      </c>
      <c r="F25" t="s">
        <v>292</v>
      </c>
    </row>
    <row r="26" spans="1:6">
      <c r="A26" t="s">
        <v>161</v>
      </c>
      <c r="B26" s="3">
        <v>1760</v>
      </c>
      <c r="C26" t="s">
        <v>13</v>
      </c>
      <c r="D26" s="2">
        <v>46204</v>
      </c>
      <c r="E26" t="s">
        <v>267</v>
      </c>
      <c r="F26" t="s">
        <v>293</v>
      </c>
    </row>
    <row r="27" spans="1:6">
      <c r="A27" t="s">
        <v>238</v>
      </c>
      <c r="B27" s="3">
        <v>2150</v>
      </c>
      <c r="C27" t="s">
        <v>13</v>
      </c>
      <c r="D27" s="2">
        <v>46204</v>
      </c>
      <c r="E27" t="s">
        <v>279</v>
      </c>
      <c r="F27" t="s">
        <v>294</v>
      </c>
    </row>
    <row r="28" spans="1:6">
      <c r="A28" t="s">
        <v>19</v>
      </c>
      <c r="B28" s="3">
        <v>1440</v>
      </c>
      <c r="C28" t="s">
        <v>13</v>
      </c>
      <c r="D28" s="2">
        <v>46204</v>
      </c>
      <c r="E28" t="s">
        <v>271</v>
      </c>
      <c r="F28" t="s">
        <v>295</v>
      </c>
    </row>
    <row r="29" spans="1:6">
      <c r="A29" t="s">
        <v>22</v>
      </c>
      <c r="B29" s="3">
        <v>1410</v>
      </c>
      <c r="C29" t="s">
        <v>23</v>
      </c>
      <c r="D29" s="2">
        <v>46204</v>
      </c>
      <c r="E29" t="s">
        <v>282</v>
      </c>
      <c r="F29" t="s">
        <v>296</v>
      </c>
    </row>
    <row r="30" spans="1:6">
      <c r="A30" t="s">
        <v>40</v>
      </c>
      <c r="B30" s="3">
        <v>790</v>
      </c>
      <c r="C30" t="s">
        <v>23</v>
      </c>
      <c r="D30" s="2">
        <v>46204</v>
      </c>
      <c r="E30" t="s">
        <v>279</v>
      </c>
      <c r="F30" t="s">
        <v>297</v>
      </c>
    </row>
    <row r="31" spans="1:6">
      <c r="A31" t="s">
        <v>79</v>
      </c>
      <c r="B31" s="3">
        <v>1300</v>
      </c>
      <c r="C31" t="s">
        <v>10</v>
      </c>
      <c r="D31" s="2">
        <v>46204</v>
      </c>
      <c r="E31" t="s">
        <v>269</v>
      </c>
      <c r="F31" t="s">
        <v>298</v>
      </c>
    </row>
    <row r="32" spans="1:6">
      <c r="A32" t="s">
        <v>97</v>
      </c>
      <c r="B32" s="3">
        <v>1960</v>
      </c>
      <c r="C32" t="s">
        <v>13</v>
      </c>
      <c r="D32" s="2">
        <v>46204</v>
      </c>
      <c r="E32" t="s">
        <v>282</v>
      </c>
      <c r="F32" t="s">
        <v>299</v>
      </c>
    </row>
    <row r="33" spans="1:6">
      <c r="A33" t="s">
        <v>143</v>
      </c>
      <c r="B33" s="3">
        <v>2260</v>
      </c>
      <c r="C33" t="s">
        <v>10</v>
      </c>
      <c r="D33" s="2">
        <v>46204</v>
      </c>
      <c r="E33" t="s">
        <v>265</v>
      </c>
      <c r="F33" t="s">
        <v>300</v>
      </c>
    </row>
    <row r="34" spans="1:6">
      <c r="A34" t="s">
        <v>54</v>
      </c>
      <c r="B34" s="3">
        <v>1330</v>
      </c>
      <c r="C34" t="s">
        <v>10</v>
      </c>
      <c r="D34" s="2">
        <v>46204</v>
      </c>
      <c r="E34" t="s">
        <v>269</v>
      </c>
      <c r="F34" t="s">
        <v>301</v>
      </c>
    </row>
    <row r="35" spans="1:6">
      <c r="A35" t="s">
        <v>17</v>
      </c>
      <c r="B35" s="3">
        <v>2120</v>
      </c>
      <c r="C35" t="s">
        <v>13</v>
      </c>
      <c r="D35" s="2">
        <v>46204</v>
      </c>
      <c r="E35" t="s">
        <v>282</v>
      </c>
      <c r="F35" t="s">
        <v>302</v>
      </c>
    </row>
    <row r="36" spans="1:6">
      <c r="A36" t="s">
        <v>32</v>
      </c>
      <c r="B36" s="3">
        <v>1110</v>
      </c>
      <c r="C36" t="s">
        <v>13</v>
      </c>
      <c r="D36" s="2">
        <v>46204</v>
      </c>
      <c r="E36" t="s">
        <v>265</v>
      </c>
      <c r="F36" t="s">
        <v>303</v>
      </c>
    </row>
    <row r="37" spans="1:6">
      <c r="A37" t="s">
        <v>117</v>
      </c>
      <c r="B37" s="3">
        <v>1650</v>
      </c>
      <c r="C37" t="s">
        <v>13</v>
      </c>
      <c r="D37" s="2">
        <v>46204</v>
      </c>
      <c r="E37" t="s">
        <v>269</v>
      </c>
      <c r="F37" t="s">
        <v>304</v>
      </c>
    </row>
    <row r="38" spans="1:6">
      <c r="A38" t="s">
        <v>12</v>
      </c>
      <c r="B38" s="3">
        <v>1380</v>
      </c>
      <c r="C38" t="s">
        <v>13</v>
      </c>
      <c r="D38" s="2">
        <v>46204</v>
      </c>
      <c r="E38" t="s">
        <v>279</v>
      </c>
      <c r="F38" t="s">
        <v>305</v>
      </c>
    </row>
    <row r="39" spans="1:6">
      <c r="A39" t="s">
        <v>25</v>
      </c>
      <c r="B39" s="3">
        <v>1460</v>
      </c>
      <c r="C39" t="s">
        <v>13</v>
      </c>
      <c r="D39" s="2">
        <v>46204</v>
      </c>
      <c r="E39" t="s">
        <v>267</v>
      </c>
      <c r="F39" t="s">
        <v>306</v>
      </c>
    </row>
    <row r="40" spans="1:6">
      <c r="A40" t="s">
        <v>101</v>
      </c>
      <c r="B40" s="3">
        <v>640</v>
      </c>
      <c r="C40" t="s">
        <v>13</v>
      </c>
      <c r="D40" s="2">
        <v>46204</v>
      </c>
      <c r="E40" t="s">
        <v>279</v>
      </c>
      <c r="F40" t="s">
        <v>307</v>
      </c>
    </row>
    <row r="41" spans="1:6">
      <c r="A41" t="s">
        <v>73</v>
      </c>
      <c r="B41" s="3">
        <v>1120</v>
      </c>
      <c r="C41" t="s">
        <v>13</v>
      </c>
      <c r="D41" s="2">
        <v>46204</v>
      </c>
      <c r="E41" t="s">
        <v>282</v>
      </c>
      <c r="F41" t="s">
        <v>308</v>
      </c>
    </row>
    <row r="42" spans="1:6">
      <c r="A42" t="s">
        <v>60</v>
      </c>
      <c r="B42" s="3">
        <v>1500</v>
      </c>
      <c r="C42" t="s">
        <v>13</v>
      </c>
      <c r="D42" s="2">
        <v>46204</v>
      </c>
      <c r="E42" t="s">
        <v>265</v>
      </c>
      <c r="F42" t="s">
        <v>309</v>
      </c>
    </row>
    <row r="43" spans="1:6">
      <c r="A43" t="s">
        <v>83</v>
      </c>
      <c r="B43" s="3">
        <v>2110</v>
      </c>
      <c r="C43" t="s">
        <v>23</v>
      </c>
      <c r="D43" s="2">
        <v>46204</v>
      </c>
      <c r="E43" t="s">
        <v>269</v>
      </c>
      <c r="F43" t="s">
        <v>310</v>
      </c>
    </row>
    <row r="44" spans="1:6">
      <c r="A44" t="s">
        <v>56</v>
      </c>
      <c r="B44" s="3">
        <v>2310</v>
      </c>
      <c r="C44" t="s">
        <v>13</v>
      </c>
      <c r="D44" s="2">
        <v>46248</v>
      </c>
      <c r="E44" t="s">
        <v>269</v>
      </c>
    </row>
    <row r="45" spans="1:6">
      <c r="A45" t="s">
        <v>77</v>
      </c>
      <c r="B45" s="3">
        <v>1380</v>
      </c>
      <c r="C45" t="s">
        <v>13</v>
      </c>
      <c r="D45" s="2">
        <v>46204</v>
      </c>
      <c r="E45" t="s">
        <v>282</v>
      </c>
      <c r="F45" t="s">
        <v>311</v>
      </c>
    </row>
    <row r="46" spans="1:6">
      <c r="A46" t="s">
        <v>133</v>
      </c>
      <c r="B46" s="3">
        <v>1450</v>
      </c>
      <c r="C46" t="s">
        <v>13</v>
      </c>
      <c r="D46" s="2">
        <v>46204</v>
      </c>
      <c r="E46" t="s">
        <v>265</v>
      </c>
      <c r="F46" t="s">
        <v>312</v>
      </c>
    </row>
    <row r="47" spans="1:6">
      <c r="A47" t="s">
        <v>152</v>
      </c>
      <c r="B47" s="3">
        <v>1700</v>
      </c>
      <c r="C47" t="s">
        <v>13</v>
      </c>
      <c r="D47" s="2">
        <v>46204</v>
      </c>
      <c r="E47" t="s">
        <v>271</v>
      </c>
      <c r="F47" t="s">
        <v>313</v>
      </c>
    </row>
    <row r="48" spans="1:6">
      <c r="A48" t="s">
        <v>29</v>
      </c>
      <c r="B48" s="3">
        <v>860</v>
      </c>
      <c r="C48" t="s">
        <v>13</v>
      </c>
      <c r="D48" s="2">
        <v>46204</v>
      </c>
      <c r="E48" t="s">
        <v>282</v>
      </c>
      <c r="F48" t="s">
        <v>314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C277"/>
  <sheetViews>
    <sheetView workbookViewId="0"/>
  </sheetViews>
  <sheetFormatPr defaultRowHeight="15"/>
  <sheetData>
    <row r="1" spans="1:3">
      <c r="A1" s="1" t="s">
        <v>315</v>
      </c>
      <c r="B1" s="1" t="s">
        <v>5</v>
      </c>
      <c r="C1" s="1" t="s">
        <v>316</v>
      </c>
    </row>
    <row r="2" spans="1:3">
      <c r="A2" s="2">
        <v>46204</v>
      </c>
      <c r="B2" t="s">
        <v>13</v>
      </c>
      <c r="C2" s="4">
        <v>1</v>
      </c>
    </row>
    <row r="3" spans="1:3">
      <c r="A3" s="2">
        <v>46204</v>
      </c>
      <c r="B3" t="s">
        <v>10</v>
      </c>
      <c r="C3" s="4">
        <v>1.0829</v>
      </c>
    </row>
    <row r="4" spans="1:3">
      <c r="A4" s="2">
        <v>46204</v>
      </c>
      <c r="B4" t="s">
        <v>23</v>
      </c>
      <c r="C4" s="4">
        <v>1.2728</v>
      </c>
    </row>
    <row r="5" spans="1:3">
      <c r="A5" s="2">
        <v>46205</v>
      </c>
      <c r="B5" t="s">
        <v>13</v>
      </c>
      <c r="C5" s="4">
        <v>1</v>
      </c>
    </row>
    <row r="6" spans="1:3">
      <c r="A6" s="2">
        <v>46205</v>
      </c>
      <c r="B6" t="s">
        <v>10</v>
      </c>
      <c r="C6" s="4">
        <v>1.0802</v>
      </c>
    </row>
    <row r="7" spans="1:3">
      <c r="A7" s="2">
        <v>46205</v>
      </c>
      <c r="B7" t="s">
        <v>23</v>
      </c>
      <c r="C7" s="4">
        <v>1.2725</v>
      </c>
    </row>
    <row r="8" spans="1:3">
      <c r="A8" s="2">
        <v>46206</v>
      </c>
      <c r="B8" t="s">
        <v>13</v>
      </c>
      <c r="C8" s="4">
        <v>1</v>
      </c>
    </row>
    <row r="9" spans="1:3">
      <c r="A9" s="2">
        <v>46206</v>
      </c>
      <c r="B9" t="s">
        <v>10</v>
      </c>
      <c r="C9" s="4">
        <v>1.0799</v>
      </c>
    </row>
    <row r="10" spans="1:3">
      <c r="A10" s="2">
        <v>46206</v>
      </c>
      <c r="B10" t="s">
        <v>23</v>
      </c>
      <c r="C10" s="4">
        <v>1.2758</v>
      </c>
    </row>
    <row r="11" spans="1:3">
      <c r="A11" s="2">
        <v>46207</v>
      </c>
      <c r="B11" t="s">
        <v>13</v>
      </c>
      <c r="C11" s="4">
        <v>1</v>
      </c>
    </row>
    <row r="12" spans="1:3">
      <c r="A12" s="2">
        <v>46207</v>
      </c>
      <c r="B12" t="s">
        <v>10</v>
      </c>
      <c r="C12" s="4">
        <v>1.0801</v>
      </c>
    </row>
    <row r="13" spans="1:3">
      <c r="A13" s="2">
        <v>46207</v>
      </c>
      <c r="B13" t="s">
        <v>23</v>
      </c>
      <c r="C13" s="4">
        <v>1.277</v>
      </c>
    </row>
    <row r="14" spans="1:3">
      <c r="A14" s="2">
        <v>46208</v>
      </c>
      <c r="B14" t="s">
        <v>13</v>
      </c>
      <c r="C14" s="4">
        <v>1</v>
      </c>
    </row>
    <row r="15" spans="1:3">
      <c r="A15" s="2">
        <v>46208</v>
      </c>
      <c r="B15" t="s">
        <v>10</v>
      </c>
      <c r="C15" s="4">
        <v>1.0818</v>
      </c>
    </row>
    <row r="16" spans="1:3">
      <c r="A16" s="2">
        <v>46208</v>
      </c>
      <c r="B16" t="s">
        <v>23</v>
      </c>
      <c r="C16" s="4">
        <v>1.2771</v>
      </c>
    </row>
    <row r="17" spans="1:3">
      <c r="A17" s="2">
        <v>46209</v>
      </c>
      <c r="B17" t="s">
        <v>13</v>
      </c>
      <c r="C17" s="4">
        <v>1</v>
      </c>
    </row>
    <row r="18" spans="1:3">
      <c r="A18" s="2">
        <v>46209</v>
      </c>
      <c r="B18" t="s">
        <v>10</v>
      </c>
      <c r="C18" s="4">
        <v>1.0792</v>
      </c>
    </row>
    <row r="19" spans="1:3">
      <c r="A19" s="2">
        <v>46209</v>
      </c>
      <c r="B19" t="s">
        <v>23</v>
      </c>
      <c r="C19" s="4">
        <v>1.2802</v>
      </c>
    </row>
    <row r="20" spans="1:3">
      <c r="A20" s="2">
        <v>46210</v>
      </c>
      <c r="B20" t="s">
        <v>13</v>
      </c>
      <c r="C20" s="4">
        <v>1</v>
      </c>
    </row>
    <row r="21" spans="1:3">
      <c r="A21" s="2">
        <v>46210</v>
      </c>
      <c r="B21" t="s">
        <v>10</v>
      </c>
      <c r="C21" s="4">
        <v>1.0809</v>
      </c>
    </row>
    <row r="22" spans="1:3">
      <c r="A22" s="2">
        <v>46210</v>
      </c>
      <c r="B22" t="s">
        <v>23</v>
      </c>
      <c r="C22" s="4">
        <v>1.2774</v>
      </c>
    </row>
    <row r="23" spans="1:3">
      <c r="A23" s="2">
        <v>46211</v>
      </c>
      <c r="B23" t="s">
        <v>13</v>
      </c>
      <c r="C23" s="4">
        <v>1</v>
      </c>
    </row>
    <row r="24" spans="1:3">
      <c r="A24" s="2">
        <v>46211</v>
      </c>
      <c r="B24" t="s">
        <v>10</v>
      </c>
      <c r="C24" s="4">
        <v>1.0785</v>
      </c>
    </row>
    <row r="25" spans="1:3">
      <c r="A25" s="2">
        <v>46211</v>
      </c>
      <c r="B25" t="s">
        <v>23</v>
      </c>
      <c r="C25" s="4">
        <v>1.2807</v>
      </c>
    </row>
    <row r="26" spans="1:3">
      <c r="A26" s="2">
        <v>46212</v>
      </c>
      <c r="B26" t="s">
        <v>13</v>
      </c>
      <c r="C26" s="4">
        <v>1</v>
      </c>
    </row>
    <row r="27" spans="1:3">
      <c r="A27" s="2">
        <v>46212</v>
      </c>
      <c r="B27" t="s">
        <v>10</v>
      </c>
      <c r="C27" s="4">
        <v>1.078</v>
      </c>
    </row>
    <row r="28" spans="1:3">
      <c r="A28" s="2">
        <v>46212</v>
      </c>
      <c r="B28" t="s">
        <v>23</v>
      </c>
      <c r="C28" s="4">
        <v>1.2786</v>
      </c>
    </row>
    <row r="29" spans="1:3">
      <c r="A29" s="2">
        <v>46213</v>
      </c>
      <c r="B29" t="s">
        <v>13</v>
      </c>
      <c r="C29" s="4">
        <v>1</v>
      </c>
    </row>
    <row r="30" spans="1:3">
      <c r="A30" s="2">
        <v>46213</v>
      </c>
      <c r="B30" t="s">
        <v>10</v>
      </c>
      <c r="C30" s="4">
        <v>1.0789</v>
      </c>
    </row>
    <row r="31" spans="1:3">
      <c r="A31" s="2">
        <v>46213</v>
      </c>
      <c r="B31" t="s">
        <v>23</v>
      </c>
      <c r="C31" s="4">
        <v>1.2776</v>
      </c>
    </row>
    <row r="32" spans="1:3">
      <c r="A32" s="2">
        <v>46214</v>
      </c>
      <c r="B32" t="s">
        <v>13</v>
      </c>
      <c r="C32" s="4">
        <v>1</v>
      </c>
    </row>
    <row r="33" spans="1:3">
      <c r="A33" s="2">
        <v>46214</v>
      </c>
      <c r="B33" t="s">
        <v>10</v>
      </c>
      <c r="C33" s="4">
        <v>1.0782</v>
      </c>
    </row>
    <row r="34" spans="1:3">
      <c r="A34" s="2">
        <v>46214</v>
      </c>
      <c r="B34" t="s">
        <v>23</v>
      </c>
      <c r="C34" s="4">
        <v>1.2781</v>
      </c>
    </row>
    <row r="35" spans="1:3">
      <c r="A35" s="2">
        <v>46215</v>
      </c>
      <c r="B35" t="s">
        <v>13</v>
      </c>
      <c r="C35" s="4">
        <v>1</v>
      </c>
    </row>
    <row r="36" spans="1:3">
      <c r="A36" s="2">
        <v>46215</v>
      </c>
      <c r="B36" t="s">
        <v>10</v>
      </c>
      <c r="C36" s="4">
        <v>1.0753</v>
      </c>
    </row>
    <row r="37" spans="1:3">
      <c r="A37" s="2">
        <v>46215</v>
      </c>
      <c r="B37" t="s">
        <v>23</v>
      </c>
      <c r="C37" s="4">
        <v>1.2758</v>
      </c>
    </row>
    <row r="38" spans="1:3">
      <c r="A38" s="2">
        <v>46216</v>
      </c>
      <c r="B38" t="s">
        <v>13</v>
      </c>
      <c r="C38" s="4">
        <v>1</v>
      </c>
    </row>
    <row r="39" spans="1:3">
      <c r="A39" s="2">
        <v>46216</v>
      </c>
      <c r="B39" t="s">
        <v>10</v>
      </c>
      <c r="C39" s="4">
        <v>1.0751</v>
      </c>
    </row>
    <row r="40" spans="1:3">
      <c r="A40" s="2">
        <v>46216</v>
      </c>
      <c r="B40" t="s">
        <v>23</v>
      </c>
      <c r="C40" s="4">
        <v>1.2729</v>
      </c>
    </row>
    <row r="41" spans="1:3">
      <c r="A41" s="2">
        <v>46217</v>
      </c>
      <c r="B41" t="s">
        <v>13</v>
      </c>
      <c r="C41" s="4">
        <v>1</v>
      </c>
    </row>
    <row r="42" spans="1:3">
      <c r="A42" s="2">
        <v>46217</v>
      </c>
      <c r="B42" t="s">
        <v>10</v>
      </c>
      <c r="C42" s="4">
        <v>1.0756</v>
      </c>
    </row>
    <row r="43" spans="1:3">
      <c r="A43" s="2">
        <v>46217</v>
      </c>
      <c r="B43" t="s">
        <v>23</v>
      </c>
      <c r="C43" s="4">
        <v>1.2719</v>
      </c>
    </row>
    <row r="44" spans="1:3">
      <c r="A44" s="2">
        <v>46218</v>
      </c>
      <c r="B44" t="s">
        <v>13</v>
      </c>
      <c r="C44" s="4">
        <v>1</v>
      </c>
    </row>
    <row r="45" spans="1:3">
      <c r="A45" s="2">
        <v>46218</v>
      </c>
      <c r="B45" t="s">
        <v>10</v>
      </c>
      <c r="C45" s="4">
        <v>1.0772</v>
      </c>
    </row>
    <row r="46" spans="1:3">
      <c r="A46" s="2">
        <v>46218</v>
      </c>
      <c r="B46" t="s">
        <v>23</v>
      </c>
      <c r="C46" s="4">
        <v>1.2709</v>
      </c>
    </row>
    <row r="47" spans="1:3">
      <c r="A47" s="2">
        <v>46219</v>
      </c>
      <c r="B47" t="s">
        <v>13</v>
      </c>
      <c r="C47" s="4">
        <v>1</v>
      </c>
    </row>
    <row r="48" spans="1:3">
      <c r="A48" s="2">
        <v>46219</v>
      </c>
      <c r="B48" t="s">
        <v>10</v>
      </c>
      <c r="C48" s="4">
        <v>1.0743</v>
      </c>
    </row>
    <row r="49" spans="1:3">
      <c r="A49" s="2">
        <v>46219</v>
      </c>
      <c r="B49" t="s">
        <v>23</v>
      </c>
      <c r="C49" s="4">
        <v>1.2674</v>
      </c>
    </row>
    <row r="50" spans="1:3">
      <c r="A50" s="2">
        <v>46220</v>
      </c>
      <c r="B50" t="s">
        <v>13</v>
      </c>
      <c r="C50" s="4">
        <v>1</v>
      </c>
    </row>
    <row r="51" spans="1:3">
      <c r="A51" s="2">
        <v>46220</v>
      </c>
      <c r="B51" t="s">
        <v>10</v>
      </c>
      <c r="C51" s="4">
        <v>1.0732</v>
      </c>
    </row>
    <row r="52" spans="1:3">
      <c r="A52" s="2">
        <v>46220</v>
      </c>
      <c r="B52" t="s">
        <v>23</v>
      </c>
      <c r="C52" s="4">
        <v>1.2663</v>
      </c>
    </row>
    <row r="53" spans="1:3">
      <c r="A53" s="2">
        <v>46221</v>
      </c>
      <c r="B53" t="s">
        <v>13</v>
      </c>
      <c r="C53" s="4">
        <v>1</v>
      </c>
    </row>
    <row r="54" spans="1:3">
      <c r="A54" s="2">
        <v>46221</v>
      </c>
      <c r="B54" t="s">
        <v>10</v>
      </c>
      <c r="C54" s="4">
        <v>1.0714</v>
      </c>
    </row>
    <row r="55" spans="1:3">
      <c r="A55" s="2">
        <v>46221</v>
      </c>
      <c r="B55" t="s">
        <v>23</v>
      </c>
      <c r="C55" s="4">
        <v>1.2674</v>
      </c>
    </row>
    <row r="56" spans="1:3">
      <c r="A56" s="2">
        <v>46222</v>
      </c>
      <c r="B56" t="s">
        <v>13</v>
      </c>
      <c r="C56" s="4">
        <v>1</v>
      </c>
    </row>
    <row r="57" spans="1:3">
      <c r="A57" s="2">
        <v>46222</v>
      </c>
      <c r="B57" t="s">
        <v>10</v>
      </c>
      <c r="C57" s="4">
        <v>1.0725</v>
      </c>
    </row>
    <row r="58" spans="1:3">
      <c r="A58" s="2">
        <v>46222</v>
      </c>
      <c r="B58" t="s">
        <v>23</v>
      </c>
      <c r="C58" s="4">
        <v>1.2666</v>
      </c>
    </row>
    <row r="59" spans="1:3">
      <c r="A59" s="2">
        <v>46223</v>
      </c>
      <c r="B59" t="s">
        <v>13</v>
      </c>
      <c r="C59" s="4">
        <v>1</v>
      </c>
    </row>
    <row r="60" spans="1:3">
      <c r="A60" s="2">
        <v>46223</v>
      </c>
      <c r="B60" t="s">
        <v>10</v>
      </c>
      <c r="C60" s="4">
        <v>1.0745</v>
      </c>
    </row>
    <row r="61" spans="1:3">
      <c r="A61" s="2">
        <v>46223</v>
      </c>
      <c r="B61" t="s">
        <v>23</v>
      </c>
      <c r="C61" s="4">
        <v>1.2652</v>
      </c>
    </row>
    <row r="62" spans="1:3">
      <c r="A62" s="2">
        <v>46224</v>
      </c>
      <c r="B62" t="s">
        <v>13</v>
      </c>
      <c r="C62" s="4">
        <v>1</v>
      </c>
    </row>
    <row r="63" spans="1:3">
      <c r="A63" s="2">
        <v>46224</v>
      </c>
      <c r="B63" t="s">
        <v>10</v>
      </c>
      <c r="C63" s="4">
        <v>1.073</v>
      </c>
    </row>
    <row r="64" spans="1:3">
      <c r="A64" s="2">
        <v>46224</v>
      </c>
      <c r="B64" t="s">
        <v>23</v>
      </c>
      <c r="C64" s="4">
        <v>1.2631</v>
      </c>
    </row>
    <row r="65" spans="1:3">
      <c r="A65" s="2">
        <v>46225</v>
      </c>
      <c r="B65" t="s">
        <v>13</v>
      </c>
      <c r="C65" s="4">
        <v>1</v>
      </c>
    </row>
    <row r="66" spans="1:3">
      <c r="A66" s="2">
        <v>46225</v>
      </c>
      <c r="B66" t="s">
        <v>10</v>
      </c>
      <c r="C66" s="4">
        <v>1.0739</v>
      </c>
    </row>
    <row r="67" spans="1:3">
      <c r="A67" s="2">
        <v>46225</v>
      </c>
      <c r="B67" t="s">
        <v>23</v>
      </c>
      <c r="C67" s="4">
        <v>1.2614</v>
      </c>
    </row>
    <row r="68" spans="1:3">
      <c r="A68" s="2">
        <v>46226</v>
      </c>
      <c r="B68" t="s">
        <v>13</v>
      </c>
      <c r="C68" s="4">
        <v>1</v>
      </c>
    </row>
    <row r="69" spans="1:3">
      <c r="A69" s="2">
        <v>46226</v>
      </c>
      <c r="B69" t="s">
        <v>10</v>
      </c>
      <c r="C69" s="4">
        <v>1.074</v>
      </c>
    </row>
    <row r="70" spans="1:3">
      <c r="A70" s="2">
        <v>46226</v>
      </c>
      <c r="B70" t="s">
        <v>23</v>
      </c>
      <c r="C70" s="4">
        <v>1.2612</v>
      </c>
    </row>
    <row r="71" spans="1:3">
      <c r="A71" s="2">
        <v>46227</v>
      </c>
      <c r="B71" t="s">
        <v>13</v>
      </c>
      <c r="C71" s="4">
        <v>1</v>
      </c>
    </row>
    <row r="72" spans="1:3">
      <c r="A72" s="2">
        <v>46227</v>
      </c>
      <c r="B72" t="s">
        <v>10</v>
      </c>
      <c r="C72" s="4">
        <v>1.0741</v>
      </c>
    </row>
    <row r="73" spans="1:3">
      <c r="A73" s="2">
        <v>46227</v>
      </c>
      <c r="B73" t="s">
        <v>23</v>
      </c>
      <c r="C73" s="4">
        <v>1.26</v>
      </c>
    </row>
    <row r="74" spans="1:3">
      <c r="A74" s="2">
        <v>46228</v>
      </c>
      <c r="B74" t="s">
        <v>13</v>
      </c>
      <c r="C74" s="4">
        <v>1</v>
      </c>
    </row>
    <row r="75" spans="1:3">
      <c r="A75" s="2">
        <v>46228</v>
      </c>
      <c r="B75" t="s">
        <v>10</v>
      </c>
      <c r="C75" s="4">
        <v>1.0717</v>
      </c>
    </row>
    <row r="76" spans="1:3">
      <c r="A76" s="2">
        <v>46228</v>
      </c>
      <c r="B76" t="s">
        <v>23</v>
      </c>
      <c r="C76" s="4">
        <v>1.2575</v>
      </c>
    </row>
    <row r="77" spans="1:3">
      <c r="A77" s="2">
        <v>46229</v>
      </c>
      <c r="B77" t="s">
        <v>13</v>
      </c>
      <c r="C77" s="4">
        <v>1</v>
      </c>
    </row>
    <row r="78" spans="1:3">
      <c r="A78" s="2">
        <v>46229</v>
      </c>
      <c r="B78" t="s">
        <v>10</v>
      </c>
      <c r="C78" s="4">
        <v>1.0705</v>
      </c>
    </row>
    <row r="79" spans="1:3">
      <c r="A79" s="2">
        <v>46229</v>
      </c>
      <c r="B79" t="s">
        <v>23</v>
      </c>
      <c r="C79" s="4">
        <v>1.2596</v>
      </c>
    </row>
    <row r="80" spans="1:3">
      <c r="A80" s="2">
        <v>46230</v>
      </c>
      <c r="B80" t="s">
        <v>13</v>
      </c>
      <c r="C80" s="4">
        <v>1</v>
      </c>
    </row>
    <row r="81" spans="1:3">
      <c r="A81" s="2">
        <v>46230</v>
      </c>
      <c r="B81" t="s">
        <v>10</v>
      </c>
      <c r="C81" s="4">
        <v>1.0708</v>
      </c>
    </row>
    <row r="82" spans="1:3">
      <c r="A82" s="2">
        <v>46230</v>
      </c>
      <c r="B82" t="s">
        <v>23</v>
      </c>
      <c r="C82" s="4">
        <v>1.2599</v>
      </c>
    </row>
    <row r="83" spans="1:3">
      <c r="A83" s="2">
        <v>46231</v>
      </c>
      <c r="B83" t="s">
        <v>13</v>
      </c>
      <c r="C83" s="4">
        <v>1</v>
      </c>
    </row>
    <row r="84" spans="1:3">
      <c r="A84" s="2">
        <v>46231</v>
      </c>
      <c r="B84" t="s">
        <v>10</v>
      </c>
      <c r="C84" s="4">
        <v>1.0713</v>
      </c>
    </row>
    <row r="85" spans="1:3">
      <c r="A85" s="2">
        <v>46231</v>
      </c>
      <c r="B85" t="s">
        <v>23</v>
      </c>
      <c r="C85" s="4">
        <v>1.2619</v>
      </c>
    </row>
    <row r="86" spans="1:3">
      <c r="A86" s="2">
        <v>46232</v>
      </c>
      <c r="B86" t="s">
        <v>13</v>
      </c>
      <c r="C86" s="4">
        <v>1</v>
      </c>
    </row>
    <row r="87" spans="1:3">
      <c r="A87" s="2">
        <v>46232</v>
      </c>
      <c r="B87" t="s">
        <v>10</v>
      </c>
      <c r="C87" s="4">
        <v>1.0731</v>
      </c>
    </row>
    <row r="88" spans="1:3">
      <c r="A88" s="2">
        <v>46232</v>
      </c>
      <c r="B88" t="s">
        <v>23</v>
      </c>
      <c r="C88" s="4">
        <v>1.2622</v>
      </c>
    </row>
    <row r="89" spans="1:3">
      <c r="A89" s="2">
        <v>46233</v>
      </c>
      <c r="B89" t="s">
        <v>13</v>
      </c>
      <c r="C89" s="4">
        <v>1</v>
      </c>
    </row>
    <row r="90" spans="1:3">
      <c r="A90" s="2">
        <v>46233</v>
      </c>
      <c r="B90" t="s">
        <v>10</v>
      </c>
      <c r="C90" s="4">
        <v>1.0732</v>
      </c>
    </row>
    <row r="91" spans="1:3">
      <c r="A91" s="2">
        <v>46233</v>
      </c>
      <c r="B91" t="s">
        <v>23</v>
      </c>
      <c r="C91" s="4">
        <v>1.2636</v>
      </c>
    </row>
    <row r="92" spans="1:3">
      <c r="A92" s="2">
        <v>46234</v>
      </c>
      <c r="B92" t="s">
        <v>13</v>
      </c>
      <c r="C92" s="4">
        <v>1</v>
      </c>
    </row>
    <row r="93" spans="1:3">
      <c r="A93" s="2">
        <v>46234</v>
      </c>
      <c r="B93" t="s">
        <v>10</v>
      </c>
      <c r="C93" s="4">
        <v>1.073</v>
      </c>
    </row>
    <row r="94" spans="1:3">
      <c r="A94" s="2">
        <v>46234</v>
      </c>
      <c r="B94" t="s">
        <v>23</v>
      </c>
      <c r="C94" s="4">
        <v>1.2653</v>
      </c>
    </row>
    <row r="95" spans="1:3">
      <c r="A95" s="2">
        <v>46235</v>
      </c>
      <c r="B95" t="s">
        <v>13</v>
      </c>
      <c r="C95" s="4">
        <v>1</v>
      </c>
    </row>
    <row r="96" spans="1:3">
      <c r="A96" s="2">
        <v>46235</v>
      </c>
      <c r="B96" t="s">
        <v>10</v>
      </c>
      <c r="C96" s="4">
        <v>1.0758</v>
      </c>
    </row>
    <row r="97" spans="1:3">
      <c r="A97" s="2">
        <v>46235</v>
      </c>
      <c r="B97" t="s">
        <v>23</v>
      </c>
      <c r="C97" s="4">
        <v>1.2648</v>
      </c>
    </row>
    <row r="98" spans="1:3">
      <c r="A98" s="2">
        <v>46236</v>
      </c>
      <c r="B98" t="s">
        <v>13</v>
      </c>
      <c r="C98" s="4">
        <v>1</v>
      </c>
    </row>
    <row r="99" spans="1:3">
      <c r="A99" s="2">
        <v>46236</v>
      </c>
      <c r="B99" t="s">
        <v>10</v>
      </c>
      <c r="C99" s="4">
        <v>1.0753</v>
      </c>
    </row>
    <row r="100" spans="1:3">
      <c r="A100" s="2">
        <v>46236</v>
      </c>
      <c r="B100" t="s">
        <v>23</v>
      </c>
      <c r="C100" s="4">
        <v>1.2647</v>
      </c>
    </row>
    <row r="101" spans="1:3">
      <c r="A101" s="2">
        <v>46237</v>
      </c>
      <c r="B101" t="s">
        <v>13</v>
      </c>
      <c r="C101" s="4">
        <v>1</v>
      </c>
    </row>
    <row r="102" spans="1:3">
      <c r="A102" s="2">
        <v>46237</v>
      </c>
      <c r="B102" t="s">
        <v>10</v>
      </c>
      <c r="C102" s="4">
        <v>1.0762</v>
      </c>
    </row>
    <row r="103" spans="1:3">
      <c r="A103" s="2">
        <v>46237</v>
      </c>
      <c r="B103" t="s">
        <v>23</v>
      </c>
      <c r="C103" s="4">
        <v>1.2677</v>
      </c>
    </row>
    <row r="104" spans="1:3">
      <c r="A104" s="2">
        <v>46238</v>
      </c>
      <c r="B104" t="s">
        <v>13</v>
      </c>
      <c r="C104" s="4">
        <v>1</v>
      </c>
    </row>
    <row r="105" spans="1:3">
      <c r="A105" s="2">
        <v>46238</v>
      </c>
      <c r="B105" t="s">
        <v>10</v>
      </c>
      <c r="C105" s="4">
        <v>1.079</v>
      </c>
    </row>
    <row r="106" spans="1:3">
      <c r="A106" s="2">
        <v>46238</v>
      </c>
      <c r="B106" t="s">
        <v>23</v>
      </c>
      <c r="C106" s="4">
        <v>1.2702</v>
      </c>
    </row>
    <row r="107" spans="1:3">
      <c r="A107" s="2">
        <v>46239</v>
      </c>
      <c r="B107" t="s">
        <v>13</v>
      </c>
      <c r="C107" s="4">
        <v>1</v>
      </c>
    </row>
    <row r="108" spans="1:3">
      <c r="A108" s="2">
        <v>46239</v>
      </c>
      <c r="B108" t="s">
        <v>10</v>
      </c>
      <c r="C108" s="4">
        <v>1.0781</v>
      </c>
    </row>
    <row r="109" spans="1:3">
      <c r="A109" s="2">
        <v>46239</v>
      </c>
      <c r="B109" t="s">
        <v>23</v>
      </c>
      <c r="C109" s="4">
        <v>1.268</v>
      </c>
    </row>
    <row r="110" spans="1:3">
      <c r="A110" s="2">
        <v>46240</v>
      </c>
      <c r="B110" t="s">
        <v>13</v>
      </c>
      <c r="C110" s="4">
        <v>1</v>
      </c>
    </row>
    <row r="111" spans="1:3">
      <c r="A111" s="2">
        <v>46240</v>
      </c>
      <c r="B111" t="s">
        <v>10</v>
      </c>
      <c r="C111" s="4">
        <v>1.08</v>
      </c>
    </row>
    <row r="112" spans="1:3">
      <c r="A112" s="2">
        <v>46240</v>
      </c>
      <c r="B112" t="s">
        <v>23</v>
      </c>
      <c r="C112" s="4">
        <v>1.2683</v>
      </c>
    </row>
    <row r="113" spans="1:3">
      <c r="A113" s="2">
        <v>46241</v>
      </c>
      <c r="B113" t="s">
        <v>13</v>
      </c>
      <c r="C113" s="4">
        <v>1</v>
      </c>
    </row>
    <row r="114" spans="1:3">
      <c r="A114" s="2">
        <v>46241</v>
      </c>
      <c r="B114" t="s">
        <v>10</v>
      </c>
      <c r="C114" s="4">
        <v>1.0798</v>
      </c>
    </row>
    <row r="115" spans="1:3">
      <c r="A115" s="2">
        <v>46241</v>
      </c>
      <c r="B115" t="s">
        <v>23</v>
      </c>
      <c r="C115" s="4">
        <v>1.271</v>
      </c>
    </row>
    <row r="116" spans="1:3">
      <c r="A116" s="2">
        <v>46242</v>
      </c>
      <c r="B116" t="s">
        <v>13</v>
      </c>
      <c r="C116" s="4">
        <v>1</v>
      </c>
    </row>
    <row r="117" spans="1:3">
      <c r="A117" s="2">
        <v>46242</v>
      </c>
      <c r="B117" t="s">
        <v>10</v>
      </c>
      <c r="C117" s="4">
        <v>1.0819</v>
      </c>
    </row>
    <row r="118" spans="1:3">
      <c r="A118" s="2">
        <v>46242</v>
      </c>
      <c r="B118" t="s">
        <v>23</v>
      </c>
      <c r="C118" s="4">
        <v>1.2743</v>
      </c>
    </row>
    <row r="119" spans="1:3">
      <c r="A119" s="2">
        <v>46243</v>
      </c>
      <c r="B119" t="s">
        <v>13</v>
      </c>
      <c r="C119" s="4">
        <v>1</v>
      </c>
    </row>
    <row r="120" spans="1:3">
      <c r="A120" s="2">
        <v>46243</v>
      </c>
      <c r="B120" t="s">
        <v>10</v>
      </c>
      <c r="C120" s="4">
        <v>1.0821</v>
      </c>
    </row>
    <row r="121" spans="1:3">
      <c r="A121" s="2">
        <v>46243</v>
      </c>
      <c r="B121" t="s">
        <v>23</v>
      </c>
      <c r="C121" s="4">
        <v>1.2735</v>
      </c>
    </row>
    <row r="122" spans="1:3">
      <c r="A122" s="2">
        <v>46244</v>
      </c>
      <c r="B122" t="s">
        <v>13</v>
      </c>
      <c r="C122" s="4">
        <v>1</v>
      </c>
    </row>
    <row r="123" spans="1:3">
      <c r="A123" s="2">
        <v>46244</v>
      </c>
      <c r="B123" t="s">
        <v>10</v>
      </c>
      <c r="C123" s="4">
        <v>1.0829</v>
      </c>
    </row>
    <row r="124" spans="1:3">
      <c r="A124" s="2">
        <v>46244</v>
      </c>
      <c r="B124" t="s">
        <v>23</v>
      </c>
      <c r="C124" s="4">
        <v>1.2763</v>
      </c>
    </row>
    <row r="125" spans="1:3">
      <c r="A125" s="2">
        <v>46245</v>
      </c>
      <c r="B125" t="s">
        <v>13</v>
      </c>
      <c r="C125" s="4">
        <v>1</v>
      </c>
    </row>
    <row r="126" spans="1:3">
      <c r="A126" s="2">
        <v>46245</v>
      </c>
      <c r="B126" t="s">
        <v>10</v>
      </c>
      <c r="C126" s="4">
        <v>1.0845</v>
      </c>
    </row>
    <row r="127" spans="1:3">
      <c r="A127" s="2">
        <v>46245</v>
      </c>
      <c r="B127" t="s">
        <v>23</v>
      </c>
      <c r="C127" s="4">
        <v>1.2771</v>
      </c>
    </row>
    <row r="128" spans="1:3">
      <c r="A128" s="2">
        <v>46246</v>
      </c>
      <c r="B128" t="s">
        <v>13</v>
      </c>
      <c r="C128" s="4">
        <v>1</v>
      </c>
    </row>
    <row r="129" spans="1:3">
      <c r="A129" s="2">
        <v>46246</v>
      </c>
      <c r="B129" t="s">
        <v>10</v>
      </c>
      <c r="C129" s="4">
        <v>1.0857</v>
      </c>
    </row>
    <row r="130" spans="1:3">
      <c r="A130" s="2">
        <v>46246</v>
      </c>
      <c r="B130" t="s">
        <v>23</v>
      </c>
      <c r="C130" s="4">
        <v>1.279</v>
      </c>
    </row>
    <row r="131" spans="1:3">
      <c r="A131" s="2">
        <v>46247</v>
      </c>
      <c r="B131" t="s">
        <v>13</v>
      </c>
      <c r="C131" s="4">
        <v>1</v>
      </c>
    </row>
    <row r="132" spans="1:3">
      <c r="A132" s="2">
        <v>46247</v>
      </c>
      <c r="B132" t="s">
        <v>10</v>
      </c>
      <c r="C132" s="4">
        <v>1.0887</v>
      </c>
    </row>
    <row r="133" spans="1:3">
      <c r="A133" s="2">
        <v>46247</v>
      </c>
      <c r="B133" t="s">
        <v>23</v>
      </c>
      <c r="C133" s="4">
        <v>1.2779</v>
      </c>
    </row>
    <row r="134" spans="1:3">
      <c r="A134" s="2">
        <v>46248</v>
      </c>
      <c r="B134" t="s">
        <v>13</v>
      </c>
      <c r="C134" s="4">
        <v>1</v>
      </c>
    </row>
    <row r="135" spans="1:3">
      <c r="A135" s="2">
        <v>46248</v>
      </c>
      <c r="B135" t="s">
        <v>10</v>
      </c>
      <c r="C135" s="4">
        <v>1.0878</v>
      </c>
    </row>
    <row r="136" spans="1:3">
      <c r="A136" s="2">
        <v>46248</v>
      </c>
      <c r="B136" t="s">
        <v>23</v>
      </c>
      <c r="C136" s="4">
        <v>1.2774</v>
      </c>
    </row>
    <row r="137" spans="1:3">
      <c r="A137" s="2">
        <v>46249</v>
      </c>
      <c r="B137" t="s">
        <v>13</v>
      </c>
      <c r="C137" s="4">
        <v>1</v>
      </c>
    </row>
    <row r="138" spans="1:3">
      <c r="A138" s="2">
        <v>46249</v>
      </c>
      <c r="B138" t="s">
        <v>10</v>
      </c>
      <c r="C138" s="4">
        <v>1.0888</v>
      </c>
    </row>
    <row r="139" spans="1:3">
      <c r="A139" s="2">
        <v>46249</v>
      </c>
      <c r="B139" t="s">
        <v>23</v>
      </c>
      <c r="C139" s="4">
        <v>1.2752</v>
      </c>
    </row>
    <row r="140" spans="1:3">
      <c r="A140" s="2">
        <v>46250</v>
      </c>
      <c r="B140" t="s">
        <v>13</v>
      </c>
      <c r="C140" s="4">
        <v>1</v>
      </c>
    </row>
    <row r="141" spans="1:3">
      <c r="A141" s="2">
        <v>46250</v>
      </c>
      <c r="B141" t="s">
        <v>10</v>
      </c>
      <c r="C141" s="4">
        <v>1.0904</v>
      </c>
    </row>
    <row r="142" spans="1:3">
      <c r="A142" s="2">
        <v>46250</v>
      </c>
      <c r="B142" t="s">
        <v>23</v>
      </c>
      <c r="C142" s="4">
        <v>1.2782</v>
      </c>
    </row>
    <row r="143" spans="1:3">
      <c r="A143" s="2">
        <v>46251</v>
      </c>
      <c r="B143" t="s">
        <v>13</v>
      </c>
      <c r="C143" s="4">
        <v>1</v>
      </c>
    </row>
    <row r="144" spans="1:3">
      <c r="A144" s="2">
        <v>46251</v>
      </c>
      <c r="B144" t="s">
        <v>10</v>
      </c>
      <c r="C144" s="4">
        <v>1.0899</v>
      </c>
    </row>
    <row r="145" spans="1:3">
      <c r="A145" s="2">
        <v>46251</v>
      </c>
      <c r="B145" t="s">
        <v>23</v>
      </c>
      <c r="C145" s="4">
        <v>1.2795</v>
      </c>
    </row>
    <row r="146" spans="1:3">
      <c r="A146" s="2">
        <v>46252</v>
      </c>
      <c r="B146" t="s">
        <v>13</v>
      </c>
      <c r="C146" s="4">
        <v>1</v>
      </c>
    </row>
    <row r="147" spans="1:3">
      <c r="A147" s="2">
        <v>46252</v>
      </c>
      <c r="B147" t="s">
        <v>10</v>
      </c>
      <c r="C147" s="4">
        <v>1.0877</v>
      </c>
    </row>
    <row r="148" spans="1:3">
      <c r="A148" s="2">
        <v>46252</v>
      </c>
      <c r="B148" t="s">
        <v>23</v>
      </c>
      <c r="C148" s="4">
        <v>1.2791</v>
      </c>
    </row>
    <row r="149" spans="1:3">
      <c r="A149" s="2">
        <v>46253</v>
      </c>
      <c r="B149" t="s">
        <v>13</v>
      </c>
      <c r="C149" s="4">
        <v>1</v>
      </c>
    </row>
    <row r="150" spans="1:3">
      <c r="A150" s="2">
        <v>46253</v>
      </c>
      <c r="B150" t="s">
        <v>10</v>
      </c>
      <c r="C150" s="4">
        <v>1.0886</v>
      </c>
    </row>
    <row r="151" spans="1:3">
      <c r="A151" s="2">
        <v>46253</v>
      </c>
      <c r="B151" t="s">
        <v>23</v>
      </c>
      <c r="C151" s="4">
        <v>1.2756</v>
      </c>
    </row>
    <row r="152" spans="1:3">
      <c r="A152" s="2">
        <v>46254</v>
      </c>
      <c r="B152" t="s">
        <v>13</v>
      </c>
      <c r="C152" s="4">
        <v>1</v>
      </c>
    </row>
    <row r="153" spans="1:3">
      <c r="A153" s="2">
        <v>46254</v>
      </c>
      <c r="B153" t="s">
        <v>10</v>
      </c>
      <c r="C153" s="4">
        <v>1.0911</v>
      </c>
    </row>
    <row r="154" spans="1:3">
      <c r="A154" s="2">
        <v>46254</v>
      </c>
      <c r="B154" t="s">
        <v>23</v>
      </c>
      <c r="C154" s="4">
        <v>1.2755</v>
      </c>
    </row>
    <row r="155" spans="1:3">
      <c r="A155" s="2">
        <v>46255</v>
      </c>
      <c r="B155" t="s">
        <v>13</v>
      </c>
      <c r="C155" s="4">
        <v>1</v>
      </c>
    </row>
    <row r="156" spans="1:3">
      <c r="A156" s="2">
        <v>46255</v>
      </c>
      <c r="B156" t="s">
        <v>10</v>
      </c>
      <c r="C156" s="4">
        <v>1.0935</v>
      </c>
    </row>
    <row r="157" spans="1:3">
      <c r="A157" s="2">
        <v>46255</v>
      </c>
      <c r="B157" t="s">
        <v>23</v>
      </c>
      <c r="C157" s="4">
        <v>1.2778</v>
      </c>
    </row>
    <row r="158" spans="1:3">
      <c r="A158" s="2">
        <v>46256</v>
      </c>
      <c r="B158" t="s">
        <v>13</v>
      </c>
      <c r="C158" s="4">
        <v>1</v>
      </c>
    </row>
    <row r="159" spans="1:3">
      <c r="A159" s="2">
        <v>46256</v>
      </c>
      <c r="B159" t="s">
        <v>10</v>
      </c>
      <c r="C159" s="4">
        <v>1.0941</v>
      </c>
    </row>
    <row r="160" spans="1:3">
      <c r="A160" s="2">
        <v>46256</v>
      </c>
      <c r="B160" t="s">
        <v>23</v>
      </c>
      <c r="C160" s="4">
        <v>1.2757</v>
      </c>
    </row>
    <row r="161" spans="1:3">
      <c r="A161" s="2">
        <v>46257</v>
      </c>
      <c r="B161" t="s">
        <v>13</v>
      </c>
      <c r="C161" s="4">
        <v>1</v>
      </c>
    </row>
    <row r="162" spans="1:3">
      <c r="A162" s="2">
        <v>46257</v>
      </c>
      <c r="B162" t="s">
        <v>10</v>
      </c>
      <c r="C162" s="4">
        <v>1.0923</v>
      </c>
    </row>
    <row r="163" spans="1:3">
      <c r="A163" s="2">
        <v>46257</v>
      </c>
      <c r="B163" t="s">
        <v>23</v>
      </c>
      <c r="C163" s="4">
        <v>1.2734</v>
      </c>
    </row>
    <row r="164" spans="1:3">
      <c r="A164" s="2">
        <v>46258</v>
      </c>
      <c r="B164" t="s">
        <v>13</v>
      </c>
      <c r="C164" s="4">
        <v>1</v>
      </c>
    </row>
    <row r="165" spans="1:3">
      <c r="A165" s="2">
        <v>46258</v>
      </c>
      <c r="B165" t="s">
        <v>10</v>
      </c>
      <c r="C165" s="4">
        <v>1.0928</v>
      </c>
    </row>
    <row r="166" spans="1:3">
      <c r="A166" s="2">
        <v>46258</v>
      </c>
      <c r="B166" t="s">
        <v>23</v>
      </c>
      <c r="C166" s="4">
        <v>1.2747</v>
      </c>
    </row>
    <row r="167" spans="1:3">
      <c r="A167" s="2">
        <v>46259</v>
      </c>
      <c r="B167" t="s">
        <v>13</v>
      </c>
      <c r="C167" s="4">
        <v>1</v>
      </c>
    </row>
    <row r="168" spans="1:3">
      <c r="A168" s="2">
        <v>46259</v>
      </c>
      <c r="B168" t="s">
        <v>10</v>
      </c>
      <c r="C168" s="4">
        <v>1.0939</v>
      </c>
    </row>
    <row r="169" spans="1:3">
      <c r="A169" s="2">
        <v>46259</v>
      </c>
      <c r="B169" t="s">
        <v>23</v>
      </c>
      <c r="C169" s="4">
        <v>1.2733</v>
      </c>
    </row>
    <row r="170" spans="1:3">
      <c r="A170" s="2">
        <v>46260</v>
      </c>
      <c r="B170" t="s">
        <v>13</v>
      </c>
      <c r="C170" s="4">
        <v>1</v>
      </c>
    </row>
    <row r="171" spans="1:3">
      <c r="A171" s="2">
        <v>46260</v>
      </c>
      <c r="B171" t="s">
        <v>10</v>
      </c>
      <c r="C171" s="4">
        <v>1.0963</v>
      </c>
    </row>
    <row r="172" spans="1:3">
      <c r="A172" s="2">
        <v>46260</v>
      </c>
      <c r="B172" t="s">
        <v>23</v>
      </c>
      <c r="C172" s="4">
        <v>1.2722</v>
      </c>
    </row>
    <row r="173" spans="1:3">
      <c r="A173" s="2">
        <v>46261</v>
      </c>
      <c r="B173" t="s">
        <v>13</v>
      </c>
      <c r="C173" s="4">
        <v>1</v>
      </c>
    </row>
    <row r="174" spans="1:3">
      <c r="A174" s="2">
        <v>46261</v>
      </c>
      <c r="B174" t="s">
        <v>10</v>
      </c>
      <c r="C174" s="4">
        <v>1.0989</v>
      </c>
    </row>
    <row r="175" spans="1:3">
      <c r="A175" s="2">
        <v>46261</v>
      </c>
      <c r="B175" t="s">
        <v>23</v>
      </c>
      <c r="C175" s="4">
        <v>1.2711</v>
      </c>
    </row>
    <row r="176" spans="1:3">
      <c r="A176" s="2">
        <v>46262</v>
      </c>
      <c r="B176" t="s">
        <v>13</v>
      </c>
      <c r="C176" s="4">
        <v>1</v>
      </c>
    </row>
    <row r="177" spans="1:3">
      <c r="A177" s="2">
        <v>46262</v>
      </c>
      <c r="B177" t="s">
        <v>10</v>
      </c>
      <c r="C177" s="4">
        <v>1.0988</v>
      </c>
    </row>
    <row r="178" spans="1:3">
      <c r="A178" s="2">
        <v>46262</v>
      </c>
      <c r="B178" t="s">
        <v>23</v>
      </c>
      <c r="C178" s="4">
        <v>1.2702</v>
      </c>
    </row>
    <row r="179" spans="1:3">
      <c r="A179" s="2">
        <v>46263</v>
      </c>
      <c r="B179" t="s">
        <v>13</v>
      </c>
      <c r="C179" s="4">
        <v>1</v>
      </c>
    </row>
    <row r="180" spans="1:3">
      <c r="A180" s="2">
        <v>46263</v>
      </c>
      <c r="B180" t="s">
        <v>10</v>
      </c>
      <c r="C180" s="4">
        <v>1.1016</v>
      </c>
    </row>
    <row r="181" spans="1:3">
      <c r="A181" s="2">
        <v>46263</v>
      </c>
      <c r="B181" t="s">
        <v>23</v>
      </c>
      <c r="C181" s="4">
        <v>1.2672</v>
      </c>
    </row>
    <row r="182" spans="1:3">
      <c r="A182" s="2">
        <v>46264</v>
      </c>
      <c r="B182" t="s">
        <v>13</v>
      </c>
      <c r="C182" s="4">
        <v>1</v>
      </c>
    </row>
    <row r="183" spans="1:3">
      <c r="A183" s="2">
        <v>46264</v>
      </c>
      <c r="B183" t="s">
        <v>10</v>
      </c>
      <c r="C183" s="4">
        <v>1.0999</v>
      </c>
    </row>
    <row r="184" spans="1:3">
      <c r="A184" s="2">
        <v>46264</v>
      </c>
      <c r="B184" t="s">
        <v>23</v>
      </c>
      <c r="C184" s="4">
        <v>1.2666</v>
      </c>
    </row>
    <row r="185" spans="1:3">
      <c r="A185" s="2">
        <v>46265</v>
      </c>
      <c r="B185" t="s">
        <v>13</v>
      </c>
      <c r="C185" s="4">
        <v>1</v>
      </c>
    </row>
    <row r="186" spans="1:3">
      <c r="A186" s="2">
        <v>46265</v>
      </c>
      <c r="B186" t="s">
        <v>10</v>
      </c>
      <c r="C186" s="4">
        <v>1.0971</v>
      </c>
    </row>
    <row r="187" spans="1:3">
      <c r="A187" s="2">
        <v>46265</v>
      </c>
      <c r="B187" t="s">
        <v>23</v>
      </c>
      <c r="C187" s="4">
        <v>1.2671</v>
      </c>
    </row>
    <row r="188" spans="1:3">
      <c r="A188" s="2">
        <v>46266</v>
      </c>
      <c r="B188" t="s">
        <v>13</v>
      </c>
      <c r="C188" s="4">
        <v>1</v>
      </c>
    </row>
    <row r="189" spans="1:3">
      <c r="A189" s="2">
        <v>46266</v>
      </c>
      <c r="B189" t="s">
        <v>10</v>
      </c>
      <c r="C189" s="4">
        <v>1.0985</v>
      </c>
    </row>
    <row r="190" spans="1:3">
      <c r="A190" s="2">
        <v>46266</v>
      </c>
      <c r="B190" t="s">
        <v>23</v>
      </c>
      <c r="C190" s="4">
        <v>1.2669</v>
      </c>
    </row>
    <row r="191" spans="1:3">
      <c r="A191" s="2">
        <v>46267</v>
      </c>
      <c r="B191" t="s">
        <v>13</v>
      </c>
      <c r="C191" s="4">
        <v>1</v>
      </c>
    </row>
    <row r="192" spans="1:3">
      <c r="A192" s="2">
        <v>46267</v>
      </c>
      <c r="B192" t="s">
        <v>10</v>
      </c>
      <c r="C192" s="4">
        <v>1.0998</v>
      </c>
    </row>
    <row r="193" spans="1:3">
      <c r="A193" s="2">
        <v>46267</v>
      </c>
      <c r="B193" t="s">
        <v>23</v>
      </c>
      <c r="C193" s="4">
        <v>1.2691</v>
      </c>
    </row>
    <row r="194" spans="1:3">
      <c r="A194" s="2">
        <v>46268</v>
      </c>
      <c r="B194" t="s">
        <v>13</v>
      </c>
      <c r="C194" s="4">
        <v>1</v>
      </c>
    </row>
    <row r="195" spans="1:3">
      <c r="A195" s="2">
        <v>46268</v>
      </c>
      <c r="B195" t="s">
        <v>10</v>
      </c>
      <c r="C195" s="4">
        <v>1.1002</v>
      </c>
    </row>
    <row r="196" spans="1:3">
      <c r="A196" s="2">
        <v>46268</v>
      </c>
      <c r="B196" t="s">
        <v>23</v>
      </c>
      <c r="C196" s="4">
        <v>1.2659</v>
      </c>
    </row>
    <row r="197" spans="1:3">
      <c r="A197" s="2">
        <v>46269</v>
      </c>
      <c r="B197" t="s">
        <v>13</v>
      </c>
      <c r="C197" s="4">
        <v>1</v>
      </c>
    </row>
    <row r="198" spans="1:3">
      <c r="A198" s="2">
        <v>46269</v>
      </c>
      <c r="B198" t="s">
        <v>10</v>
      </c>
      <c r="C198" s="4">
        <v>1.1014</v>
      </c>
    </row>
    <row r="199" spans="1:3">
      <c r="A199" s="2">
        <v>46269</v>
      </c>
      <c r="B199" t="s">
        <v>23</v>
      </c>
      <c r="C199" s="4">
        <v>1.2652</v>
      </c>
    </row>
    <row r="200" spans="1:3">
      <c r="A200" s="2">
        <v>46270</v>
      </c>
      <c r="B200" t="s">
        <v>13</v>
      </c>
      <c r="C200" s="4">
        <v>1</v>
      </c>
    </row>
    <row r="201" spans="1:3">
      <c r="A201" s="2">
        <v>46270</v>
      </c>
      <c r="B201" t="s">
        <v>10</v>
      </c>
      <c r="C201" s="4">
        <v>1.1042</v>
      </c>
    </row>
    <row r="202" spans="1:3">
      <c r="A202" s="2">
        <v>46270</v>
      </c>
      <c r="B202" t="s">
        <v>23</v>
      </c>
      <c r="C202" s="4">
        <v>1.265</v>
      </c>
    </row>
    <row r="203" spans="1:3">
      <c r="A203" s="2">
        <v>46271</v>
      </c>
      <c r="B203" t="s">
        <v>13</v>
      </c>
      <c r="C203" s="4">
        <v>1</v>
      </c>
    </row>
    <row r="204" spans="1:3">
      <c r="A204" s="2">
        <v>46271</v>
      </c>
      <c r="B204" t="s">
        <v>10</v>
      </c>
      <c r="C204" s="4">
        <v>1.1047</v>
      </c>
    </row>
    <row r="205" spans="1:3">
      <c r="A205" s="2">
        <v>46271</v>
      </c>
      <c r="B205" t="s">
        <v>23</v>
      </c>
      <c r="C205" s="4">
        <v>1.2648</v>
      </c>
    </row>
    <row r="206" spans="1:3">
      <c r="A206" s="2">
        <v>46272</v>
      </c>
      <c r="B206" t="s">
        <v>13</v>
      </c>
      <c r="C206" s="4">
        <v>1</v>
      </c>
    </row>
    <row r="207" spans="1:3">
      <c r="A207" s="2">
        <v>46272</v>
      </c>
      <c r="B207" t="s">
        <v>10</v>
      </c>
      <c r="C207" s="4">
        <v>1.1017</v>
      </c>
    </row>
    <row r="208" spans="1:3">
      <c r="A208" s="2">
        <v>46272</v>
      </c>
      <c r="B208" t="s">
        <v>23</v>
      </c>
      <c r="C208" s="4">
        <v>1.2647</v>
      </c>
    </row>
    <row r="209" spans="1:3">
      <c r="A209" s="2">
        <v>46273</v>
      </c>
      <c r="B209" t="s">
        <v>13</v>
      </c>
      <c r="C209" s="4">
        <v>1</v>
      </c>
    </row>
    <row r="210" spans="1:3">
      <c r="A210" s="2">
        <v>46273</v>
      </c>
      <c r="B210" t="s">
        <v>10</v>
      </c>
      <c r="C210" s="4">
        <v>1.1002</v>
      </c>
    </row>
    <row r="211" spans="1:3">
      <c r="A211" s="2">
        <v>46273</v>
      </c>
      <c r="B211" t="s">
        <v>23</v>
      </c>
      <c r="C211" s="4">
        <v>1.2653</v>
      </c>
    </row>
    <row r="212" spans="1:3">
      <c r="A212" s="2">
        <v>46274</v>
      </c>
      <c r="B212" t="s">
        <v>13</v>
      </c>
      <c r="C212" s="4">
        <v>1</v>
      </c>
    </row>
    <row r="213" spans="1:3">
      <c r="A213" s="2">
        <v>46274</v>
      </c>
      <c r="B213" t="s">
        <v>10</v>
      </c>
      <c r="C213" s="4">
        <v>1.1008</v>
      </c>
    </row>
    <row r="214" spans="1:3">
      <c r="A214" s="2">
        <v>46274</v>
      </c>
      <c r="B214" t="s">
        <v>23</v>
      </c>
      <c r="C214" s="4">
        <v>1.2656</v>
      </c>
    </row>
    <row r="215" spans="1:3">
      <c r="A215" s="2">
        <v>46275</v>
      </c>
      <c r="B215" t="s">
        <v>13</v>
      </c>
      <c r="C215" s="4">
        <v>1</v>
      </c>
    </row>
    <row r="216" spans="1:3">
      <c r="A216" s="2">
        <v>46275</v>
      </c>
      <c r="B216" t="s">
        <v>10</v>
      </c>
      <c r="C216" s="4">
        <v>1.0999</v>
      </c>
    </row>
    <row r="217" spans="1:3">
      <c r="A217" s="2">
        <v>46275</v>
      </c>
      <c r="B217" t="s">
        <v>23</v>
      </c>
      <c r="C217" s="4">
        <v>1.2688</v>
      </c>
    </row>
    <row r="218" spans="1:3">
      <c r="A218" s="2">
        <v>46276</v>
      </c>
      <c r="B218" t="s">
        <v>13</v>
      </c>
      <c r="C218" s="4">
        <v>1</v>
      </c>
    </row>
    <row r="219" spans="1:3">
      <c r="A219" s="2">
        <v>46276</v>
      </c>
      <c r="B219" t="s">
        <v>10</v>
      </c>
      <c r="C219" s="4">
        <v>1.098</v>
      </c>
    </row>
    <row r="220" spans="1:3">
      <c r="A220" s="2">
        <v>46276</v>
      </c>
      <c r="B220" t="s">
        <v>23</v>
      </c>
      <c r="C220" s="4">
        <v>1.2673</v>
      </c>
    </row>
    <row r="221" spans="1:3">
      <c r="A221" s="2">
        <v>46277</v>
      </c>
      <c r="B221" t="s">
        <v>13</v>
      </c>
      <c r="C221" s="4">
        <v>1</v>
      </c>
    </row>
    <row r="222" spans="1:3">
      <c r="A222" s="2">
        <v>46277</v>
      </c>
      <c r="B222" t="s">
        <v>10</v>
      </c>
      <c r="C222" s="4">
        <v>1.0971</v>
      </c>
    </row>
    <row r="223" spans="1:3">
      <c r="A223" s="2">
        <v>46277</v>
      </c>
      <c r="B223" t="s">
        <v>23</v>
      </c>
      <c r="C223" s="4">
        <v>1.2687</v>
      </c>
    </row>
    <row r="224" spans="1:3">
      <c r="A224" s="2">
        <v>46278</v>
      </c>
      <c r="B224" t="s">
        <v>13</v>
      </c>
      <c r="C224" s="4">
        <v>1</v>
      </c>
    </row>
    <row r="225" spans="1:3">
      <c r="A225" s="2">
        <v>46278</v>
      </c>
      <c r="B225" t="s">
        <v>10</v>
      </c>
      <c r="C225" s="4">
        <v>1.0947</v>
      </c>
    </row>
    <row r="226" spans="1:3">
      <c r="A226" s="2">
        <v>46278</v>
      </c>
      <c r="B226" t="s">
        <v>23</v>
      </c>
      <c r="C226" s="4">
        <v>1.2675</v>
      </c>
    </row>
    <row r="227" spans="1:3">
      <c r="A227" s="2">
        <v>46279</v>
      </c>
      <c r="B227" t="s">
        <v>13</v>
      </c>
      <c r="C227" s="4">
        <v>1</v>
      </c>
    </row>
    <row r="228" spans="1:3">
      <c r="A228" s="2">
        <v>46279</v>
      </c>
      <c r="B228" t="s">
        <v>10</v>
      </c>
      <c r="C228" s="4">
        <v>1.0926</v>
      </c>
    </row>
    <row r="229" spans="1:3">
      <c r="A229" s="2">
        <v>46279</v>
      </c>
      <c r="B229" t="s">
        <v>23</v>
      </c>
      <c r="C229" s="4">
        <v>1.2658</v>
      </c>
    </row>
    <row r="230" spans="1:3">
      <c r="A230" s="2">
        <v>46280</v>
      </c>
      <c r="B230" t="s">
        <v>13</v>
      </c>
      <c r="C230" s="4">
        <v>1</v>
      </c>
    </row>
    <row r="231" spans="1:3">
      <c r="A231" s="2">
        <v>46280</v>
      </c>
      <c r="B231" t="s">
        <v>10</v>
      </c>
      <c r="C231" s="4">
        <v>1.0942</v>
      </c>
    </row>
    <row r="232" spans="1:3">
      <c r="A232" s="2">
        <v>46280</v>
      </c>
      <c r="B232" t="s">
        <v>23</v>
      </c>
      <c r="C232" s="4">
        <v>1.2669</v>
      </c>
    </row>
    <row r="233" spans="1:3">
      <c r="A233" s="2">
        <v>46281</v>
      </c>
      <c r="B233" t="s">
        <v>13</v>
      </c>
      <c r="C233" s="4">
        <v>1</v>
      </c>
    </row>
    <row r="234" spans="1:3">
      <c r="A234" s="2">
        <v>46281</v>
      </c>
      <c r="B234" t="s">
        <v>10</v>
      </c>
      <c r="C234" s="4">
        <v>1.0946</v>
      </c>
    </row>
    <row r="235" spans="1:3">
      <c r="A235" s="2">
        <v>46281</v>
      </c>
      <c r="B235" t="s">
        <v>23</v>
      </c>
      <c r="C235" s="4">
        <v>1.269</v>
      </c>
    </row>
    <row r="236" spans="1:3">
      <c r="A236" s="2">
        <v>46282</v>
      </c>
      <c r="B236" t="s">
        <v>13</v>
      </c>
      <c r="C236" s="4">
        <v>1</v>
      </c>
    </row>
    <row r="237" spans="1:3">
      <c r="A237" s="2">
        <v>46282</v>
      </c>
      <c r="B237" t="s">
        <v>10</v>
      </c>
      <c r="C237" s="4">
        <v>1.0966</v>
      </c>
    </row>
    <row r="238" spans="1:3">
      <c r="A238" s="2">
        <v>46282</v>
      </c>
      <c r="B238" t="s">
        <v>23</v>
      </c>
      <c r="C238" s="4">
        <v>1.2658</v>
      </c>
    </row>
    <row r="239" spans="1:3">
      <c r="A239" s="2">
        <v>46283</v>
      </c>
      <c r="B239" t="s">
        <v>13</v>
      </c>
      <c r="C239" s="4">
        <v>1</v>
      </c>
    </row>
    <row r="240" spans="1:3">
      <c r="A240" s="2">
        <v>46283</v>
      </c>
      <c r="B240" t="s">
        <v>10</v>
      </c>
      <c r="C240" s="4">
        <v>1.0944</v>
      </c>
    </row>
    <row r="241" spans="1:3">
      <c r="A241" s="2">
        <v>46283</v>
      </c>
      <c r="B241" t="s">
        <v>23</v>
      </c>
      <c r="C241" s="4">
        <v>1.2664</v>
      </c>
    </row>
    <row r="242" spans="1:3">
      <c r="A242" s="2">
        <v>46284</v>
      </c>
      <c r="B242" t="s">
        <v>13</v>
      </c>
      <c r="C242" s="4">
        <v>1</v>
      </c>
    </row>
    <row r="243" spans="1:3">
      <c r="A243" s="2">
        <v>46284</v>
      </c>
      <c r="B243" t="s">
        <v>10</v>
      </c>
      <c r="C243" s="4">
        <v>1.0946</v>
      </c>
    </row>
    <row r="244" spans="1:3">
      <c r="A244" s="2">
        <v>46284</v>
      </c>
      <c r="B244" t="s">
        <v>23</v>
      </c>
      <c r="C244" s="4">
        <v>1.2685</v>
      </c>
    </row>
    <row r="245" spans="1:3">
      <c r="A245" s="2">
        <v>46285</v>
      </c>
      <c r="B245" t="s">
        <v>13</v>
      </c>
      <c r="C245" s="4">
        <v>1</v>
      </c>
    </row>
    <row r="246" spans="1:3">
      <c r="A246" s="2">
        <v>46285</v>
      </c>
      <c r="B246" t="s">
        <v>10</v>
      </c>
      <c r="C246" s="4">
        <v>1.0948</v>
      </c>
    </row>
    <row r="247" spans="1:3">
      <c r="A247" s="2">
        <v>46285</v>
      </c>
      <c r="B247" t="s">
        <v>23</v>
      </c>
      <c r="C247" s="4">
        <v>1.265</v>
      </c>
    </row>
    <row r="248" spans="1:3">
      <c r="A248" s="2">
        <v>46286</v>
      </c>
      <c r="B248" t="s">
        <v>13</v>
      </c>
      <c r="C248" s="4">
        <v>1</v>
      </c>
    </row>
    <row r="249" spans="1:3">
      <c r="A249" s="2">
        <v>46286</v>
      </c>
      <c r="B249" t="s">
        <v>10</v>
      </c>
      <c r="C249" s="4">
        <v>1.0978</v>
      </c>
    </row>
    <row r="250" spans="1:3">
      <c r="A250" s="2">
        <v>46286</v>
      </c>
      <c r="B250" t="s">
        <v>23</v>
      </c>
      <c r="C250" s="4">
        <v>1.2663</v>
      </c>
    </row>
    <row r="251" spans="1:3">
      <c r="A251" s="2">
        <v>46287</v>
      </c>
      <c r="B251" t="s">
        <v>13</v>
      </c>
      <c r="C251" s="4">
        <v>1</v>
      </c>
    </row>
    <row r="252" spans="1:3">
      <c r="A252" s="2">
        <v>46287</v>
      </c>
      <c r="B252" t="s">
        <v>10</v>
      </c>
      <c r="C252" s="4">
        <v>1.0953</v>
      </c>
    </row>
    <row r="253" spans="1:3">
      <c r="A253" s="2">
        <v>46287</v>
      </c>
      <c r="B253" t="s">
        <v>23</v>
      </c>
      <c r="C253" s="4">
        <v>1.2683</v>
      </c>
    </row>
    <row r="254" spans="1:3">
      <c r="A254" s="2">
        <v>46288</v>
      </c>
      <c r="B254" t="s">
        <v>13</v>
      </c>
      <c r="C254" s="4">
        <v>1</v>
      </c>
    </row>
    <row r="255" spans="1:3">
      <c r="A255" s="2">
        <v>46288</v>
      </c>
      <c r="B255" t="s">
        <v>10</v>
      </c>
      <c r="C255" s="4">
        <v>1.0965</v>
      </c>
    </row>
    <row r="256" spans="1:3">
      <c r="A256" s="2">
        <v>46288</v>
      </c>
      <c r="B256" t="s">
        <v>23</v>
      </c>
      <c r="C256" s="4">
        <v>1.2694</v>
      </c>
    </row>
    <row r="257" spans="1:3">
      <c r="A257" s="2">
        <v>46289</v>
      </c>
      <c r="B257" t="s">
        <v>13</v>
      </c>
      <c r="C257" s="4">
        <v>1</v>
      </c>
    </row>
    <row r="258" spans="1:3">
      <c r="A258" s="2">
        <v>46289</v>
      </c>
      <c r="B258" t="s">
        <v>10</v>
      </c>
      <c r="C258" s="4">
        <v>1.0951</v>
      </c>
    </row>
    <row r="259" spans="1:3">
      <c r="A259" s="2">
        <v>46289</v>
      </c>
      <c r="B259" t="s">
        <v>23</v>
      </c>
      <c r="C259" s="4">
        <v>1.2664</v>
      </c>
    </row>
    <row r="260" spans="1:3">
      <c r="A260" s="2">
        <v>46290</v>
      </c>
      <c r="B260" t="s">
        <v>13</v>
      </c>
      <c r="C260" s="4">
        <v>1</v>
      </c>
    </row>
    <row r="261" spans="1:3">
      <c r="A261" s="2">
        <v>46290</v>
      </c>
      <c r="B261" t="s">
        <v>10</v>
      </c>
      <c r="C261" s="4">
        <v>1.0923</v>
      </c>
    </row>
    <row r="262" spans="1:3">
      <c r="A262" s="2">
        <v>46290</v>
      </c>
      <c r="B262" t="s">
        <v>23</v>
      </c>
      <c r="C262" s="4">
        <v>1.2649</v>
      </c>
    </row>
    <row r="263" spans="1:3">
      <c r="A263" s="2">
        <v>46291</v>
      </c>
      <c r="B263" t="s">
        <v>13</v>
      </c>
      <c r="C263" s="4">
        <v>1</v>
      </c>
    </row>
    <row r="264" spans="1:3">
      <c r="A264" s="2">
        <v>46291</v>
      </c>
      <c r="B264" t="s">
        <v>10</v>
      </c>
      <c r="C264" s="4">
        <v>1.0905</v>
      </c>
    </row>
    <row r="265" spans="1:3">
      <c r="A265" s="2">
        <v>46291</v>
      </c>
      <c r="B265" t="s">
        <v>23</v>
      </c>
      <c r="C265" s="4">
        <v>1.2672</v>
      </c>
    </row>
    <row r="266" spans="1:3">
      <c r="A266" s="2">
        <v>46292</v>
      </c>
      <c r="B266" t="s">
        <v>13</v>
      </c>
      <c r="C266" s="4">
        <v>1</v>
      </c>
    </row>
    <row r="267" spans="1:3">
      <c r="A267" s="2">
        <v>46292</v>
      </c>
      <c r="B267" t="s">
        <v>10</v>
      </c>
      <c r="C267" s="4">
        <v>1.0933</v>
      </c>
    </row>
    <row r="268" spans="1:3">
      <c r="A268" s="2">
        <v>46292</v>
      </c>
      <c r="B268" t="s">
        <v>23</v>
      </c>
      <c r="C268" s="4">
        <v>1.2668</v>
      </c>
    </row>
    <row r="269" spans="1:3">
      <c r="A269" s="2">
        <v>46293</v>
      </c>
      <c r="B269" t="s">
        <v>13</v>
      </c>
      <c r="C269" s="4">
        <v>1</v>
      </c>
    </row>
    <row r="270" spans="1:3">
      <c r="A270" s="2">
        <v>46293</v>
      </c>
      <c r="B270" t="s">
        <v>10</v>
      </c>
      <c r="C270" s="4">
        <v>1.0954</v>
      </c>
    </row>
    <row r="271" spans="1:3">
      <c r="A271" s="2">
        <v>46293</v>
      </c>
      <c r="B271" t="s">
        <v>23</v>
      </c>
      <c r="C271" s="4">
        <v>1.2638</v>
      </c>
    </row>
    <row r="272" spans="1:3">
      <c r="A272" s="2">
        <v>46294</v>
      </c>
      <c r="B272" t="s">
        <v>13</v>
      </c>
      <c r="C272" s="4">
        <v>1</v>
      </c>
    </row>
    <row r="273" spans="1:3">
      <c r="A273" s="2">
        <v>46294</v>
      </c>
      <c r="B273" t="s">
        <v>10</v>
      </c>
      <c r="C273" s="4">
        <v>1.094</v>
      </c>
    </row>
    <row r="274" spans="1:3">
      <c r="A274" s="2">
        <v>46294</v>
      </c>
      <c r="B274" t="s">
        <v>23</v>
      </c>
      <c r="C274" s="4">
        <v>1.2628</v>
      </c>
    </row>
    <row r="275" spans="1:3">
      <c r="A275" s="2">
        <v>46295</v>
      </c>
      <c r="B275" t="s">
        <v>13</v>
      </c>
      <c r="C275" s="4">
        <v>1</v>
      </c>
    </row>
    <row r="276" spans="1:3">
      <c r="A276" s="2">
        <v>46295</v>
      </c>
      <c r="B276" t="s">
        <v>10</v>
      </c>
      <c r="C276" s="4">
        <v>1.0934</v>
      </c>
    </row>
    <row r="277" spans="1:3">
      <c r="A277" s="2">
        <v>46295</v>
      </c>
      <c r="B277" t="s">
        <v>23</v>
      </c>
      <c r="C277" s="4">
        <v>1.2657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F3"/>
  <sheetViews>
    <sheetView workbookViewId="0"/>
  </sheetViews>
  <sheetFormatPr defaultRowHeight="15"/>
  <sheetData>
    <row r="1" spans="1:6">
      <c r="A1" s="1" t="s">
        <v>317</v>
      </c>
      <c r="B1" s="1" t="s">
        <v>318</v>
      </c>
      <c r="C1" s="1" t="s">
        <v>319</v>
      </c>
      <c r="D1" s="1" t="s">
        <v>320</v>
      </c>
      <c r="E1" s="1" t="s">
        <v>321</v>
      </c>
      <c r="F1" s="1" t="s">
        <v>322</v>
      </c>
    </row>
    <row r="2" spans="1:6">
      <c r="A2" t="s">
        <v>323</v>
      </c>
      <c r="B2" s="2">
        <v>46295</v>
      </c>
      <c r="C2" s="3">
        <v>80000</v>
      </c>
      <c r="D2" t="s">
        <v>324</v>
      </c>
      <c r="E2" t="s">
        <v>265</v>
      </c>
      <c r="F2" t="s">
        <v>325</v>
      </c>
    </row>
    <row r="3" spans="1:6">
      <c r="A3" t="s">
        <v>326</v>
      </c>
      <c r="B3" s="2">
        <v>46295</v>
      </c>
      <c r="C3" s="3">
        <v>-12500</v>
      </c>
      <c r="D3" t="s">
        <v>327</v>
      </c>
      <c r="E3" t="s">
        <v>267</v>
      </c>
      <c r="F3" t="s">
        <v>328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6</vt:i4>
      </vt:variant>
      <vt:variant>
        <vt:lpstr>Named Ranges</vt:lpstr>
      </vt:variant>
      <vt:variant>
        <vt:i4>1</vt:i4>
      </vt:variant>
    </vt:vector>
  </HeadingPairs>
  <TitlesOfParts>
    <vt:vector size="7" baseType="lpstr">
      <vt:lpstr>Summary</vt:lpstr>
      <vt:lpstr>Revenue</vt:lpstr>
      <vt:lpstr>Orders</vt:lpstr>
      <vt:lpstr>Pricebook</vt:lpstr>
      <vt:lpstr>FX</vt:lpstr>
      <vt:lpstr>Adjustments</vt:lpstr>
      <vt:lpstr>Headline</vt:lpstr>
    </vt:vector>
  </TitlesOfParts>
  <Company>Halloway Instruments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Q3 close</dc:title>
  <dc:creator>d.fairbanks</dc:creator>
  <cp:lastModifiedBy>d.fairbanks</cp:lastModifiedBy>
  <dcterms:created xsi:type="dcterms:W3CDTF">2026-10-01T09:00:00Z</dcterms:created>
  <dcterms:modified xsi:type="dcterms:W3CDTF">2026-10-01T09:00:00Z</dcterms:modified>
</cp:coreProperties>
</file>